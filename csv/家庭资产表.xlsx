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3.xml" ContentType="application/vnd.openxmlformats-officedocument.drawing+xml"/>
  <Override PartName="/xl/tables/table1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 codeName="ThisWorkbook"/>
  <xr:revisionPtr revIDLastSave="0" documentId="13_ncr:1_{25838A25-0BB8-4221-93A3-3C6DB5C4EE14}" xr6:coauthVersionLast="47" xr6:coauthVersionMax="47" xr10:uidLastSave="{00000000-0000-0000-0000-000000000000}"/>
  <bookViews>
    <workbookView xWindow="22403" yWindow="-1245" windowWidth="28994" windowHeight="15675" activeTab="2" xr2:uid="{00000000-000D-0000-FFFF-FFFF00000000}"/>
  </bookViews>
  <sheets>
    <sheet name="利息结果2022" sheetId="1" r:id="rId1"/>
    <sheet name="预算明细" sheetId="2" r:id="rId2"/>
    <sheet name="利息结果2023" sheetId="3" r:id="rId3"/>
  </sheets>
  <definedNames>
    <definedName name="_xlnm.Print_Titles" localSheetId="1">预算明细!$1:$2</definedName>
    <definedName name="TBL_RankingData">利息结果2022!$K$7:$O$23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3" l="1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7" i="3"/>
  <c r="F8" i="3"/>
  <c r="E8" i="3" s="1"/>
  <c r="F31" i="3"/>
  <c r="G23" i="3"/>
  <c r="F23" i="3"/>
  <c r="E23" i="3" s="1"/>
  <c r="N26" i="3"/>
  <c r="M26" i="3"/>
  <c r="O26" i="3" s="1"/>
  <c r="P26" i="3" s="1"/>
  <c r="G26" i="3"/>
  <c r="F26" i="3"/>
  <c r="E26" i="3" s="1"/>
  <c r="G15" i="3"/>
  <c r="F15" i="3"/>
  <c r="E15" i="3" s="1"/>
  <c r="G14" i="3"/>
  <c r="F14" i="3"/>
  <c r="E14" i="3" s="1"/>
  <c r="G11" i="3"/>
  <c r="F34" i="3"/>
  <c r="F35" i="3"/>
  <c r="F32" i="3"/>
  <c r="F33" i="3"/>
  <c r="F36" i="3"/>
  <c r="F30" i="3"/>
  <c r="F21" i="3"/>
  <c r="F18" i="3"/>
  <c r="E18" i="3" s="1"/>
  <c r="F7" i="3"/>
  <c r="E7" i="3" s="1"/>
  <c r="F9" i="3"/>
  <c r="E9" i="3" s="1"/>
  <c r="F10" i="3"/>
  <c r="E10" i="3" s="1"/>
  <c r="F11" i="3"/>
  <c r="E11" i="3" s="1"/>
  <c r="F12" i="3"/>
  <c r="E12" i="3" s="1"/>
  <c r="F13" i="3"/>
  <c r="E13" i="3" s="1"/>
  <c r="F16" i="3"/>
  <c r="E16" i="3" s="1"/>
  <c r="F17" i="3"/>
  <c r="E17" i="3" s="1"/>
  <c r="F19" i="3"/>
  <c r="E19" i="3" s="1"/>
  <c r="F20" i="3"/>
  <c r="E20" i="3" s="1"/>
  <c r="F22" i="3"/>
  <c r="F24" i="3"/>
  <c r="E24" i="3" s="1"/>
  <c r="F25" i="3"/>
  <c r="E25" i="3" s="1"/>
  <c r="E37" i="3"/>
  <c r="C37" i="3"/>
  <c r="G30" i="3" s="1" a="1"/>
  <c r="G30" i="3" s="1"/>
  <c r="G37" i="3" s="1"/>
  <c r="D27" i="3"/>
  <c r="C27" i="3"/>
  <c r="N25" i="3"/>
  <c r="M25" i="3"/>
  <c r="O25" i="3" s="1"/>
  <c r="G25" i="3"/>
  <c r="G24" i="3"/>
  <c r="G22" i="3"/>
  <c r="G21" i="3"/>
  <c r="G20" i="3"/>
  <c r="N19" i="3"/>
  <c r="M19" i="3"/>
  <c r="O19" i="3" s="1"/>
  <c r="G19" i="3"/>
  <c r="N18" i="3"/>
  <c r="M18" i="3"/>
  <c r="O18" i="3" s="1"/>
  <c r="G18" i="3"/>
  <c r="N17" i="3"/>
  <c r="M17" i="3"/>
  <c r="O17" i="3" s="1"/>
  <c r="G17" i="3"/>
  <c r="N16" i="3"/>
  <c r="M16" i="3"/>
  <c r="O16" i="3" s="1"/>
  <c r="G16" i="3"/>
  <c r="G13" i="3"/>
  <c r="G12" i="3"/>
  <c r="N11" i="3"/>
  <c r="M11" i="3"/>
  <c r="O11" i="3" s="1"/>
  <c r="N10" i="3"/>
  <c r="M10" i="3"/>
  <c r="O10" i="3" s="1"/>
  <c r="G10" i="3"/>
  <c r="N9" i="3"/>
  <c r="M9" i="3"/>
  <c r="O9" i="3" s="1"/>
  <c r="G9" i="3"/>
  <c r="N8" i="3"/>
  <c r="M8" i="3"/>
  <c r="O8" i="3" s="1"/>
  <c r="G8" i="3"/>
  <c r="N7" i="3"/>
  <c r="M7" i="3"/>
  <c r="O7" i="3" s="1"/>
  <c r="G7" i="3"/>
  <c r="F19" i="1"/>
  <c r="F11" i="1"/>
  <c r="G13" i="1"/>
  <c r="G12" i="1"/>
  <c r="F12" i="1"/>
  <c r="F13" i="1"/>
  <c r="F10" i="1"/>
  <c r="G10" i="1"/>
  <c r="G11" i="1" s="1"/>
  <c r="L10" i="1"/>
  <c r="N10" i="1" s="1"/>
  <c r="M10" i="1"/>
  <c r="C24" i="1"/>
  <c r="E24" i="1"/>
  <c r="G19" i="1"/>
  <c r="G20" i="1"/>
  <c r="F7" i="1"/>
  <c r="F8" i="1"/>
  <c r="F9" i="1"/>
  <c r="F14" i="1"/>
  <c r="F15" i="1"/>
  <c r="F16" i="1"/>
  <c r="F17" i="1"/>
  <c r="F18" i="1"/>
  <c r="F20" i="1"/>
  <c r="F21" i="1"/>
  <c r="F22" i="1"/>
  <c r="F23" i="1"/>
  <c r="G22" i="1"/>
  <c r="L22" i="1"/>
  <c r="N22" i="1" s="1"/>
  <c r="M22" i="1"/>
  <c r="G18" i="1"/>
  <c r="G21" i="1"/>
  <c r="M17" i="1"/>
  <c r="L17" i="1"/>
  <c r="N17" i="1" s="1"/>
  <c r="G17" i="1"/>
  <c r="G16" i="1"/>
  <c r="L16" i="1"/>
  <c r="N16" i="1" s="1"/>
  <c r="M16" i="1"/>
  <c r="E81" i="2"/>
  <c r="E80" i="2"/>
  <c r="E79" i="2"/>
  <c r="E78" i="2"/>
  <c r="E77" i="2"/>
  <c r="E73" i="2"/>
  <c r="E72" i="2"/>
  <c r="E68" i="2"/>
  <c r="E67" i="2"/>
  <c r="E66" i="2"/>
  <c r="E65" i="2"/>
  <c r="E64" i="2"/>
  <c r="E63" i="2"/>
  <c r="E62" i="2"/>
  <c r="E61" i="2"/>
  <c r="E57" i="2"/>
  <c r="E56" i="2"/>
  <c r="E55" i="2"/>
  <c r="E51" i="2"/>
  <c r="E50" i="2"/>
  <c r="E49" i="2"/>
  <c r="E45" i="2"/>
  <c r="E44" i="2"/>
  <c r="E43" i="2"/>
  <c r="E42" i="2"/>
  <c r="E38" i="2"/>
  <c r="E37" i="2"/>
  <c r="E36" i="2"/>
  <c r="E35" i="2"/>
  <c r="E34" i="2"/>
  <c r="E30" i="2"/>
  <c r="E29" i="2"/>
  <c r="E28" i="2"/>
  <c r="E27" i="2"/>
  <c r="E26" i="2"/>
  <c r="E25" i="2"/>
  <c r="E24" i="2"/>
  <c r="E23" i="2"/>
  <c r="E22" i="2"/>
  <c r="E18" i="2"/>
  <c r="E17" i="2"/>
  <c r="E16" i="2"/>
  <c r="E15" i="2"/>
  <c r="E14" i="2"/>
  <c r="E13" i="2"/>
  <c r="I27" i="3" l="1"/>
  <c r="E27" i="3"/>
  <c r="F37" i="3"/>
  <c r="I30" i="3" s="1" a="1"/>
  <c r="I30" i="3" s="1"/>
  <c r="P10" i="3"/>
  <c r="P17" i="3"/>
  <c r="P9" i="3"/>
  <c r="F27" i="3"/>
  <c r="G27" i="3"/>
  <c r="P7" i="3"/>
  <c r="P11" i="3"/>
  <c r="P19" i="3"/>
  <c r="P8" i="3"/>
  <c r="P25" i="3"/>
  <c r="P16" i="3"/>
  <c r="P18" i="3"/>
  <c r="F24" i="1"/>
  <c r="D58" i="2"/>
  <c r="M15" i="1" s="1"/>
  <c r="C58" i="2"/>
  <c r="L15" i="1" s="1"/>
  <c r="N15" i="1" s="1"/>
  <c r="D52" i="2"/>
  <c r="M14" i="1" s="1"/>
  <c r="C52" i="2"/>
  <c r="L14" i="1" s="1"/>
  <c r="N14" i="1" s="1"/>
  <c r="D46" i="2"/>
  <c r="M11" i="1" s="1"/>
  <c r="C46" i="2"/>
  <c r="L11" i="1" s="1"/>
  <c r="N11" i="1" s="1"/>
  <c r="D39" i="2"/>
  <c r="C39" i="2"/>
  <c r="D31" i="2"/>
  <c r="M9" i="1" s="1"/>
  <c r="C31" i="2"/>
  <c r="L9" i="1" s="1"/>
  <c r="N9" i="1" s="1"/>
  <c r="D69" i="2"/>
  <c r="C69" i="2"/>
  <c r="D74" i="2"/>
  <c r="C74" i="2"/>
  <c r="D82" i="2"/>
  <c r="M23" i="1" s="1"/>
  <c r="C82" i="2"/>
  <c r="L23" i="1" s="1"/>
  <c r="N23" i="1" s="1"/>
  <c r="D19" i="2"/>
  <c r="M8" i="1" s="1"/>
  <c r="C19" i="2"/>
  <c r="L8" i="1" s="1"/>
  <c r="N8" i="1" s="1"/>
  <c r="D10" i="2"/>
  <c r="M7" i="1" s="1"/>
  <c r="C10" i="2"/>
  <c r="L7" i="1" s="1"/>
  <c r="N7" i="1" s="1"/>
  <c r="O22" i="1" s="1"/>
  <c r="E9" i="2"/>
  <c r="E8" i="2"/>
  <c r="E7" i="2"/>
  <c r="E6" i="2"/>
  <c r="E5" i="2"/>
  <c r="O16" i="1" l="1"/>
  <c r="O10" i="1"/>
  <c r="Q10" i="1" s="1"/>
  <c r="O17" i="1"/>
  <c r="O15" i="1"/>
  <c r="O23" i="1"/>
  <c r="O11" i="1"/>
  <c r="O8" i="1"/>
  <c r="O7" i="1"/>
  <c r="O14" i="1"/>
  <c r="O9" i="1"/>
  <c r="E82" i="2"/>
  <c r="E74" i="2"/>
  <c r="E69" i="2"/>
  <c r="E58" i="2"/>
  <c r="E52" i="2"/>
  <c r="E46" i="2"/>
  <c r="E39" i="2"/>
  <c r="E31" i="2"/>
  <c r="E19" i="2"/>
  <c r="E10" i="2"/>
  <c r="Q22" i="1" l="1"/>
  <c r="Q7" i="1"/>
  <c r="Q17" i="1"/>
  <c r="Q16" i="1"/>
  <c r="Q8" i="1"/>
  <c r="Q9" i="1"/>
  <c r="Q11" i="1"/>
  <c r="Q23" i="1"/>
  <c r="Q15" i="1"/>
  <c r="Q14" i="1"/>
  <c r="D24" i="1" l="1"/>
  <c r="G7" i="1"/>
  <c r="G23" i="1"/>
  <c r="G15" i="1"/>
  <c r="G14" i="1"/>
  <c r="G8" i="1"/>
  <c r="G9" i="1"/>
  <c r="G2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<sst xmlns="http://schemas.openxmlformats.org/spreadsheetml/2006/main" count="220" uniqueCount="109">
  <si>
    <t>按类别汇总婚礼预算的图表。类别项根据预估费用按降序顺序显示。</t>
  </si>
  <si>
    <t>估计费用</t>
  </si>
  <si>
    <t>实际费用</t>
  </si>
  <si>
    <t>差额</t>
  </si>
  <si>
    <t>预算百分比</t>
  </si>
  <si>
    <t xml:space="preserve"> </t>
  </si>
  <si>
    <t>未排序</t>
  </si>
  <si>
    <t>宴会</t>
  </si>
  <si>
    <t>服装</t>
  </si>
  <si>
    <t>花卉和装饰</t>
  </si>
  <si>
    <t>音乐</t>
  </si>
  <si>
    <t>图片和视频</t>
  </si>
  <si>
    <t>惠赠和礼物</t>
  </si>
  <si>
    <t>典礼</t>
  </si>
  <si>
    <t>纸品</t>
  </si>
  <si>
    <t>结婚戒指</t>
  </si>
  <si>
    <t>交通</t>
  </si>
  <si>
    <t>估计成本 - 排名值</t>
  </si>
  <si>
    <t>排名</t>
  </si>
  <si>
    <t>#</t>
  </si>
  <si>
    <t>已排序</t>
  </si>
  <si>
    <t>预算明细</t>
  </si>
  <si>
    <t>场地和租金</t>
  </si>
  <si>
    <t>餐费和服务</t>
  </si>
  <si>
    <t>饮料</t>
  </si>
  <si>
    <t>蛋糕</t>
  </si>
  <si>
    <t>杂项费用</t>
  </si>
  <si>
    <t>着装</t>
  </si>
  <si>
    <t>礼服、西服和/或连衣裙</t>
  </si>
  <si>
    <t>修改</t>
  </si>
  <si>
    <t>头饰和面纱</t>
  </si>
  <si>
    <t>配饰</t>
  </si>
  <si>
    <t>头发和化妆</t>
  </si>
  <si>
    <t>典礼的花卉安排</t>
  </si>
  <si>
    <t>花童的花和篮子</t>
  </si>
  <si>
    <t>环形枕头</t>
  </si>
  <si>
    <t>花束</t>
  </si>
  <si>
    <t>翻领纽扣孔胸花</t>
  </si>
  <si>
    <t>襟花</t>
  </si>
  <si>
    <t>宴会装饰</t>
  </si>
  <si>
    <t>照明</t>
  </si>
  <si>
    <t>典礼乐手</t>
  </si>
  <si>
    <t>鸡尾酒会乐手</t>
  </si>
  <si>
    <t>宴会乐队、主持或娱乐</t>
  </si>
  <si>
    <t>音响系统或舞池租赁</t>
  </si>
  <si>
    <t>摄影</t>
  </si>
  <si>
    <t>摄像</t>
  </si>
  <si>
    <t>其他打印和相册</t>
  </si>
  <si>
    <t>惠赠和礼品</t>
  </si>
  <si>
    <t>欢迎礼品</t>
  </si>
  <si>
    <t>派对礼品</t>
  </si>
  <si>
    <t>场地费</t>
  </si>
  <si>
    <t>司仪费或教会捐献</t>
  </si>
  <si>
    <t>按时出席卡</t>
  </si>
  <si>
    <t>邀请函和 RSVP</t>
  </si>
  <si>
    <t>节目单</t>
  </si>
  <si>
    <t>席位卡</t>
  </si>
  <si>
    <t>菜单卡</t>
  </si>
  <si>
    <t>感谢便笺</t>
  </si>
  <si>
    <t>邮费</t>
  </si>
  <si>
    <t>戒指配饰</t>
  </si>
  <si>
    <t>主汽车租赁</t>
  </si>
  <si>
    <t>来宾汽车租赁</t>
  </si>
  <si>
    <t>外地客人的交通费</t>
  </si>
  <si>
    <t>泊车员停车费</t>
  </si>
  <si>
    <t>汇总</t>
    <phoneticPr fontId="34" type="noConversion"/>
  </si>
  <si>
    <t>汇总</t>
    <phoneticPr fontId="34" type="noConversion"/>
  </si>
  <si>
    <t>家庭资产表</t>
    <phoneticPr fontId="34" type="noConversion"/>
  </si>
  <si>
    <t>银行</t>
    <phoneticPr fontId="34" type="noConversion"/>
  </si>
  <si>
    <t>新疆银行</t>
    <phoneticPr fontId="34" type="noConversion"/>
  </si>
  <si>
    <t>富民银行1</t>
    <phoneticPr fontId="34" type="noConversion"/>
  </si>
  <si>
    <t>富民银行2</t>
    <phoneticPr fontId="34" type="noConversion"/>
  </si>
  <si>
    <t>蓝海银行1</t>
    <phoneticPr fontId="34" type="noConversion"/>
  </si>
  <si>
    <t>蓝海银行2</t>
    <phoneticPr fontId="34" type="noConversion"/>
  </si>
  <si>
    <t>振兴银行1</t>
    <phoneticPr fontId="34" type="noConversion"/>
  </si>
  <si>
    <t>泸州银行</t>
    <phoneticPr fontId="34" type="noConversion"/>
  </si>
  <si>
    <t>招商银行</t>
    <phoneticPr fontId="34" type="noConversion"/>
  </si>
  <si>
    <t>公积金</t>
    <phoneticPr fontId="34" type="noConversion"/>
  </si>
  <si>
    <t>支付宝</t>
    <phoneticPr fontId="34" type="noConversion"/>
  </si>
  <si>
    <t>富途牛牛</t>
    <phoneticPr fontId="34" type="noConversion"/>
  </si>
  <si>
    <t>微信</t>
    <phoneticPr fontId="34" type="noConversion"/>
  </si>
  <si>
    <t>利率</t>
    <phoneticPr fontId="34" type="noConversion"/>
  </si>
  <si>
    <t>实得利息</t>
    <phoneticPr fontId="34" type="noConversion"/>
  </si>
  <si>
    <t>应得利息</t>
    <phoneticPr fontId="34" type="noConversion"/>
  </si>
  <si>
    <t>振兴银行2</t>
    <phoneticPr fontId="34" type="noConversion"/>
  </si>
  <si>
    <t>广发证券</t>
    <phoneticPr fontId="34" type="noConversion"/>
  </si>
  <si>
    <t>苏宁银行</t>
    <phoneticPr fontId="34" type="noConversion"/>
  </si>
  <si>
    <t>众邦银行</t>
    <phoneticPr fontId="34" type="noConversion"/>
  </si>
  <si>
    <t>受益人</t>
    <phoneticPr fontId="34" type="noConversion"/>
  </si>
  <si>
    <t>存储费用</t>
    <phoneticPr fontId="34" type="noConversion"/>
  </si>
  <si>
    <t>赵大妈</t>
    <phoneticPr fontId="34" type="noConversion"/>
  </si>
  <si>
    <t>罗老板</t>
    <phoneticPr fontId="34" type="noConversion"/>
  </si>
  <si>
    <t>大眼</t>
    <phoneticPr fontId="34" type="noConversion"/>
  </si>
  <si>
    <t>小丽丽</t>
    <phoneticPr fontId="34" type="noConversion"/>
  </si>
  <si>
    <t>每双月到期</t>
    <phoneticPr fontId="34" type="noConversion"/>
  </si>
  <si>
    <t>每3月到期</t>
    <phoneticPr fontId="34" type="noConversion"/>
  </si>
  <si>
    <t>每7天到期</t>
    <phoneticPr fontId="34" type="noConversion"/>
  </si>
  <si>
    <t>12/12（6）、1/16（4）</t>
    <phoneticPr fontId="34" type="noConversion"/>
  </si>
  <si>
    <t>5/2（12）、5/3(3)</t>
    <phoneticPr fontId="34" type="noConversion"/>
  </si>
  <si>
    <t>众邦银行1</t>
    <phoneticPr fontId="34" type="noConversion"/>
  </si>
  <si>
    <t>众邦银行2</t>
    <phoneticPr fontId="34" type="noConversion"/>
  </si>
  <si>
    <t xml:space="preserve"> </t>
    <phoneticPr fontId="34" type="noConversion"/>
  </si>
  <si>
    <t>·</t>
    <phoneticPr fontId="34" type="noConversion"/>
  </si>
  <si>
    <t>众邦银行3</t>
    <phoneticPr fontId="34" type="noConversion"/>
  </si>
  <si>
    <t>华瑞银行</t>
    <phoneticPr fontId="34" type="noConversion"/>
  </si>
  <si>
    <t>金城银行</t>
    <phoneticPr fontId="34" type="noConversion"/>
  </si>
  <si>
    <t>罗婷婷</t>
    <phoneticPr fontId="34" type="noConversion"/>
  </si>
  <si>
    <t>积分</t>
    <phoneticPr fontId="34" type="noConversion"/>
  </si>
  <si>
    <t>每月到期积分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</si>
</sst>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&quot;$&quot;#,##0.00_);[Red]\(&quot;$&quot;#,##0.00\)"/>
    <numFmt numFmtId="177" formatCode="_(* #,##0_);_(* \(#,##0\);_(* &quot;-&quot;_);_(@_)"/>
    <numFmt numFmtId="178" formatCode="_(* #,##0.00_);_(* \(#,##0.00\);_(* &quot;-&quot;??_);_(@_)"/>
    <numFmt numFmtId="179" formatCode="0.0%"/>
    <numFmt numFmtId="180" formatCode="&quot;¥&quot;#,##0_);[Red]\(&quot;¥&quot;#,##0\)"/>
    <numFmt numFmtId="181" formatCode="&quot;¥&quot;#,##0.00_);[Red]\(&quot;¥&quot;#,##0.00\)"/>
    <numFmt numFmtId="182" formatCode="0.00_);[Red]\(0.00\)"/>
  </numFmts>
  <fonts count="35" x14ac:knownFonts="1">
    <font>
      <sz val="11"/>
      <color theme="1"/>
      <name val="Microsoft YaHei UI"/>
      <family val="2"/>
    </font>
    <font>
      <sz val="11"/>
      <color theme="1" tint="0.14999847407452621"/>
      <name val="Corbel"/>
      <family val="2"/>
      <scheme val="minor"/>
    </font>
    <font>
      <sz val="11"/>
      <color theme="1" tint="0.14999847407452621"/>
      <name val="Tw Cen MT"/>
      <family val="2"/>
      <scheme val="major"/>
    </font>
    <font>
      <b/>
      <sz val="28"/>
      <color theme="1" tint="0.14999847407452621"/>
      <name val="Tw Cen MT"/>
      <family val="2"/>
      <scheme val="major"/>
    </font>
    <font>
      <sz val="11"/>
      <color theme="1"/>
      <name val="Microsoft YaHei UI"/>
      <family val="2"/>
    </font>
    <font>
      <sz val="11"/>
      <color theme="0"/>
      <name val="Microsoft YaHei UI"/>
      <family val="2"/>
    </font>
    <font>
      <sz val="11"/>
      <color rgb="FF9C0006"/>
      <name val="Microsoft YaHei UI"/>
      <family val="2"/>
    </font>
    <font>
      <b/>
      <sz val="11"/>
      <color rgb="FFFA7D00"/>
      <name val="Microsoft YaHei UI"/>
      <family val="2"/>
    </font>
    <font>
      <b/>
      <sz val="11"/>
      <color theme="0"/>
      <name val="Microsoft YaHei UI"/>
      <family val="2"/>
    </font>
    <font>
      <i/>
      <sz val="11"/>
      <color rgb="FF7F7F7F"/>
      <name val="Microsoft YaHei UI"/>
      <family val="2"/>
    </font>
    <font>
      <sz val="11"/>
      <color rgb="FF006100"/>
      <name val="Microsoft YaHei UI"/>
      <family val="2"/>
    </font>
    <font>
      <b/>
      <sz val="15"/>
      <color theme="3"/>
      <name val="Microsoft YaHei UI"/>
      <family val="2"/>
    </font>
    <font>
      <b/>
      <sz val="13"/>
      <color theme="3"/>
      <name val="Microsoft YaHei UI"/>
      <family val="2"/>
    </font>
    <font>
      <b/>
      <sz val="11"/>
      <color theme="3"/>
      <name val="Microsoft YaHei UI"/>
      <family val="2"/>
    </font>
    <font>
      <sz val="11"/>
      <color rgb="FF3F3F76"/>
      <name val="Microsoft YaHei UI"/>
      <family val="2"/>
    </font>
    <font>
      <sz val="11"/>
      <color rgb="FFFA7D00"/>
      <name val="Microsoft YaHei UI"/>
      <family val="2"/>
    </font>
    <font>
      <sz val="11"/>
      <color rgb="FF9C5700"/>
      <name val="Microsoft YaHei UI"/>
      <family val="2"/>
    </font>
    <font>
      <b/>
      <sz val="11"/>
      <color rgb="FF3F3F3F"/>
      <name val="Microsoft YaHei UI"/>
      <family val="2"/>
    </font>
    <font>
      <sz val="18"/>
      <color theme="3"/>
      <name val="Microsoft YaHei UI"/>
      <family val="2"/>
    </font>
    <font>
      <b/>
      <sz val="11"/>
      <color theme="1"/>
      <name val="Microsoft YaHei UI"/>
      <family val="2"/>
    </font>
    <font>
      <sz val="11"/>
      <color rgb="FFFF0000"/>
      <name val="Microsoft YaHei UI"/>
      <family val="2"/>
    </font>
    <font>
      <sz val="11"/>
      <color theme="1" tint="0.14999847407452621"/>
      <name val="Microsoft YaHei UI"/>
      <family val="2"/>
    </font>
    <font>
      <b/>
      <sz val="28"/>
      <color theme="4"/>
      <name val="Microsoft YaHei UI"/>
      <family val="2"/>
    </font>
    <font>
      <b/>
      <sz val="28"/>
      <color theme="1" tint="0.14999847407452621"/>
      <name val="Microsoft YaHei UI"/>
      <family val="2"/>
    </font>
    <font>
      <b/>
      <sz val="11"/>
      <color theme="1" tint="4.9989318521683403E-2"/>
      <name val="Microsoft YaHei UI"/>
      <family val="2"/>
    </font>
    <font>
      <b/>
      <sz val="14"/>
      <color theme="0"/>
      <name val="Microsoft YaHei UI"/>
      <family val="2"/>
    </font>
    <font>
      <b/>
      <sz val="10"/>
      <name val="Microsoft YaHei UI"/>
      <family val="2"/>
    </font>
    <font>
      <b/>
      <sz val="11"/>
      <color theme="1" tint="0.14999847407452621"/>
      <name val="Microsoft YaHei UI"/>
      <family val="2"/>
    </font>
    <font>
      <sz val="11"/>
      <color theme="1" tint="0.14999847407452621"/>
      <name val="Microsoft YaHei UI"/>
      <family val="2"/>
      <charset val="134"/>
    </font>
    <font>
      <b/>
      <sz val="28"/>
      <color theme="4"/>
      <name val="Microsoft YaHei UI"/>
      <family val="2"/>
      <charset val="134"/>
    </font>
    <font>
      <b/>
      <sz val="28"/>
      <color theme="1" tint="0.14999847407452621"/>
      <name val="Microsoft YaHei UI"/>
      <family val="2"/>
      <charset val="134"/>
    </font>
    <font>
      <sz val="11"/>
      <color theme="0"/>
      <name val="Microsoft YaHei UI"/>
      <family val="2"/>
      <charset val="134"/>
    </font>
    <font>
      <b/>
      <sz val="10"/>
      <color theme="1" tint="4.9989318521683403E-2"/>
      <name val="Microsoft YaHei UI"/>
      <family val="2"/>
      <charset val="134"/>
    </font>
    <font>
      <b/>
      <sz val="11"/>
      <color theme="1" tint="4.9989318521683403E-2"/>
      <name val="Microsoft YaHei UI"/>
      <family val="2"/>
      <charset val="134"/>
    </font>
    <font>
      <sz val="9"/>
      <name val="宋体"/>
      <family val="3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dotted">
        <color theme="8" tint="-9.9948118533890809E-2"/>
      </top>
      <bottom style="dotted">
        <color theme="8" tint="-9.9948118533890809E-2"/>
      </bottom>
      <diagonal/>
    </border>
    <border>
      <left/>
      <right/>
      <top/>
      <bottom style="thin">
        <color theme="4" tint="0.59996337778862885"/>
      </bottom>
      <diagonal/>
    </border>
    <border>
      <left style="thin">
        <color theme="4" tint="0.59996337778862885"/>
      </left>
      <right/>
      <top style="thin">
        <color theme="4" tint="0.59996337778862885"/>
      </top>
      <bottom style="thin">
        <color theme="4" tint="0.59996337778862885"/>
      </bottom>
      <diagonal/>
    </border>
    <border>
      <left/>
      <right/>
      <top style="thin">
        <color theme="4" tint="0.59996337778862885"/>
      </top>
      <bottom style="thin">
        <color theme="4" tint="0.59996337778862885"/>
      </bottom>
      <diagonal/>
    </border>
    <border>
      <left/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theme="8" tint="-9.9948118533890809E-2"/>
      </left>
      <right style="dotted">
        <color theme="8" tint="-9.9948118533890809E-2"/>
      </right>
      <top style="dotted">
        <color theme="8" tint="-9.9948118533890809E-2"/>
      </top>
      <bottom style="dotted">
        <color theme="8" tint="-9.9948118533890809E-2"/>
      </bottom>
      <diagonal/>
    </border>
    <border>
      <left/>
      <right/>
      <top/>
      <bottom style="thin">
        <color theme="5"/>
      </bottom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47">
    <xf numFmtId="0" fontId="0" fillId="0" borderId="0"/>
    <xf numFmtId="178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6" fillId="5" borderId="0" applyNumberFormat="0" applyBorder="0" applyAlignment="0" applyProtection="0"/>
    <xf numFmtId="0" fontId="16" fillId="6" borderId="0" applyNumberFormat="0" applyBorder="0" applyAlignment="0" applyProtection="0"/>
    <xf numFmtId="0" fontId="14" fillId="7" borderId="10" applyNumberFormat="0" applyAlignment="0" applyProtection="0"/>
    <xf numFmtId="0" fontId="17" fillId="8" borderId="11" applyNumberFormat="0" applyAlignment="0" applyProtection="0"/>
    <xf numFmtId="0" fontId="7" fillId="8" borderId="10" applyNumberFormat="0" applyAlignment="0" applyProtection="0"/>
    <xf numFmtId="0" fontId="15" fillId="0" borderId="12" applyNumberFormat="0" applyFill="0" applyAlignment="0" applyProtection="0"/>
    <xf numFmtId="0" fontId="8" fillId="9" borderId="13" applyNumberFormat="0" applyAlignment="0" applyProtection="0"/>
    <xf numFmtId="0" fontId="20" fillId="0" borderId="0" applyNumberFormat="0" applyFill="0" applyBorder="0" applyAlignment="0" applyProtection="0"/>
    <xf numFmtId="0" fontId="4" fillId="10" borderId="14" applyNumberFormat="0" applyFont="0" applyAlignment="0" applyProtection="0"/>
    <xf numFmtId="0" fontId="9" fillId="0" borderId="0" applyNumberFormat="0" applyFill="0" applyBorder="0" applyAlignment="0" applyProtection="0"/>
    <xf numFmtId="0" fontId="19" fillId="0" borderId="15" applyNumberFormat="0" applyFill="0" applyAlignment="0" applyProtection="0"/>
    <xf numFmtId="0" fontId="5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5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5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5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4" fillId="34" borderId="0" applyNumberFormat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8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3" xfId="0" applyFont="1" applyBorder="1" applyAlignment="1">
      <alignment horizontal="left" vertical="center"/>
    </xf>
    <xf numFmtId="181" fontId="23" fillId="0" borderId="3" xfId="0" applyNumberFormat="1" applyFont="1" applyBorder="1" applyAlignment="1">
      <alignment horizontal="left" vertical="center"/>
    </xf>
    <xf numFmtId="0" fontId="25" fillId="2" borderId="1" xfId="0" applyFont="1" applyFill="1" applyBorder="1" applyAlignment="1">
      <alignment horizontal="left" vertical="center" indent="1"/>
    </xf>
    <xf numFmtId="181" fontId="26" fillId="0" borderId="0" xfId="0" applyNumberFormat="1" applyFont="1" applyAlignment="1">
      <alignment horizontal="center" vertical="center"/>
    </xf>
    <xf numFmtId="0" fontId="24" fillId="3" borderId="2" xfId="0" applyFont="1" applyFill="1" applyBorder="1" applyAlignment="1">
      <alignment horizontal="left" vertical="center" indent="1"/>
    </xf>
    <xf numFmtId="181" fontId="24" fillId="0" borderId="0" xfId="0" applyNumberFormat="1" applyFont="1" applyAlignment="1">
      <alignment horizontal="center" vertical="center"/>
    </xf>
    <xf numFmtId="181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left" vertical="center" inden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center" vertical="center" wrapText="1"/>
    </xf>
    <xf numFmtId="180" fontId="32" fillId="0" borderId="0" xfId="0" applyNumberFormat="1" applyFont="1" applyAlignment="1">
      <alignment horizontal="center" vertical="center" wrapText="1"/>
    </xf>
    <xf numFmtId="0" fontId="28" fillId="0" borderId="0" xfId="0" quotePrefix="1" applyFont="1" applyAlignment="1">
      <alignment horizontal="center" vertical="center"/>
    </xf>
    <xf numFmtId="179" fontId="28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left" vertical="center" indent="1"/>
    </xf>
    <xf numFmtId="180" fontId="33" fillId="0" borderId="0" xfId="0" applyNumberFormat="1" applyFont="1" applyAlignment="1">
      <alignment horizontal="center" vertical="center"/>
    </xf>
    <xf numFmtId="9" fontId="33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0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81" fontId="33" fillId="0" borderId="0" xfId="0" applyNumberFormat="1" applyFont="1" applyAlignment="1">
      <alignment horizontal="center" vertical="center"/>
    </xf>
    <xf numFmtId="0" fontId="32" fillId="35" borderId="0" xfId="0" applyFont="1" applyFill="1" applyAlignment="1">
      <alignment horizontal="center" vertical="center" wrapText="1"/>
    </xf>
    <xf numFmtId="180" fontId="32" fillId="35" borderId="0" xfId="0" applyNumberFormat="1" applyFont="1" applyFill="1" applyAlignment="1">
      <alignment horizontal="center" vertical="center" wrapText="1"/>
    </xf>
    <xf numFmtId="0" fontId="28" fillId="35" borderId="0" xfId="0" applyFont="1" applyFill="1" applyAlignment="1">
      <alignment horizontal="center" vertical="center"/>
    </xf>
    <xf numFmtId="0" fontId="28" fillId="35" borderId="0" xfId="0" applyFont="1" applyFill="1" applyAlignment="1">
      <alignment horizontal="left" vertical="center"/>
    </xf>
    <xf numFmtId="0" fontId="28" fillId="35" borderId="0" xfId="0" quotePrefix="1" applyFont="1" applyFill="1" applyAlignment="1">
      <alignment horizontal="center" vertical="center"/>
    </xf>
    <xf numFmtId="181" fontId="33" fillId="35" borderId="0" xfId="0" applyNumberFormat="1" applyFont="1" applyFill="1" applyAlignment="1">
      <alignment horizontal="center" vertical="center"/>
    </xf>
    <xf numFmtId="180" fontId="33" fillId="35" borderId="0" xfId="0" applyNumberFormat="1" applyFont="1" applyFill="1" applyAlignment="1">
      <alignment horizontal="center" vertical="center"/>
    </xf>
    <xf numFmtId="9" fontId="33" fillId="35" borderId="0" xfId="0" applyNumberFormat="1" applyFont="1" applyFill="1" applyAlignment="1">
      <alignment horizontal="center" vertical="center"/>
    </xf>
    <xf numFmtId="0" fontId="33" fillId="35" borderId="0" xfId="0" applyFont="1" applyFill="1" applyAlignment="1">
      <alignment horizontal="center" vertical="center"/>
    </xf>
    <xf numFmtId="9" fontId="28" fillId="0" borderId="0" xfId="5" applyFont="1" applyAlignment="1">
      <alignment horizontal="center" vertical="center"/>
    </xf>
    <xf numFmtId="10" fontId="28" fillId="0" borderId="0" xfId="5" applyNumberFormat="1" applyFont="1" applyAlignment="1">
      <alignment horizontal="center" vertical="center"/>
    </xf>
    <xf numFmtId="10" fontId="28" fillId="35" borderId="0" xfId="0" applyNumberFormat="1" applyFont="1" applyFill="1" applyAlignment="1">
      <alignment horizontal="center" vertical="center"/>
    </xf>
    <xf numFmtId="0" fontId="32" fillId="36" borderId="17" xfId="0" applyFont="1" applyFill="1" applyBorder="1" applyAlignment="1">
      <alignment horizontal="center" vertical="center" wrapText="1"/>
    </xf>
    <xf numFmtId="58" fontId="28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82" fontId="28" fillId="0" borderId="16" xfId="0" applyNumberFormat="1" applyFont="1" applyBorder="1" applyAlignment="1">
      <alignment horizontal="center" vertical="center"/>
    </xf>
    <xf numFmtId="182" fontId="33" fillId="37" borderId="18" xfId="0" applyNumberFormat="1" applyFont="1" applyFill="1" applyBorder="1" applyAlignment="1">
      <alignment horizontal="center" vertical="center"/>
    </xf>
  </cellXfs>
  <cellStyles count="47"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百分比" xfId="5" builtinId="5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 customBuiltin="1"/>
    <cellStyle name="好" xfId="11" builtinId="26" customBuiltin="1"/>
    <cellStyle name="汇总" xfId="22" builtinId="25" customBuiltin="1"/>
    <cellStyle name="货币" xfId="3" builtinId="4" customBuiltin="1"/>
    <cellStyle name="货币[0]" xfId="4" builtinId="7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千位分隔" xfId="1" builtinId="3" customBuiltin="1"/>
    <cellStyle name="千位分隔[0]" xfId="2" builtinId="6" customBuiltin="1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14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0" formatCode="&quot;¥&quot;#,##0_);[Red]\(&quot;¥&quot;#,##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0" formatCode="&quot;¥&quot;#,##0_);[Red]\(&quot;¥&quot;#,##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0" formatCode="&quot;¥&quot;#,##0_);[Red]\(&quot;¥&quot;#,##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179" formatCode="0.0%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Microsoft YaHei U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alignment horizontal="left" vertical="center" textRotation="0" wrapText="0" indent="1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entury Gothic"/>
        <family val="1"/>
        <scheme val="none"/>
      </font>
      <numFmt numFmtId="176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Century Gothic"/>
        <family val="1"/>
        <scheme val="none"/>
      </font>
      <numFmt numFmtId="176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1"/>
        <scheme val="none"/>
      </font>
      <numFmt numFmtId="176" formatCode="&quot;$&quot;#,##0.00_);[Red]\(&quot;$&quot;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numFmt numFmtId="181" formatCode="&quot;¥&quot;#,##0.00_);[Red]\(&quot;¥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numFmt numFmtId="181" formatCode="&quot;¥&quot;#,##0.00_);[Red]\(&quot;¥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  <numFmt numFmtId="181" formatCode="&quot;¥&quot;#,##0.00_);[Red]\(&quot;¥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dotted">
          <color theme="8" tint="-9.9948118533890809E-2"/>
        </top>
        <bottom style="dotted">
          <color theme="8" tint="-9.9948118533890809E-2"/>
        </bottom>
      </border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name val="Century Gothic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entury Gothic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179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0" formatCode="&quot;¥&quot;#,##0_);[Red]\(&quot;¥&quot;#,##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0" formatCode="&quot;¥&quot;#,##0_);[Red]\(&quot;¥&quot;#,##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0" formatCode="&quot;¥&quot;#,##0_);[Red]\(&quot;¥&quot;#,##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numFmt numFmtId="181" formatCode="&quot;¥&quot;#,##0.00_);[Red]\(&quot;¥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Microsoft YaHei UI"/>
        <family val="2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14999847407452621"/>
        <name val="Microsoft YaHei UI"/>
        <family val="2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Microsoft YaHei UI"/>
        <family val="2"/>
        <charset val="134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theme="5" tint="0.79998168889431442"/>
          <bgColor theme="5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/>
        <color theme="1"/>
      </font>
    </dxf>
    <dxf>
      <font>
        <b/>
        <color theme="1"/>
      </font>
    </dxf>
    <dxf>
      <fill>
        <patternFill>
          <bgColor theme="8"/>
        </patternFill>
      </fill>
      <border diagonalUp="0" diagonalDown="0">
        <left/>
        <right/>
        <top style="thin">
          <color theme="8"/>
        </top>
        <bottom style="thin">
          <color theme="8"/>
        </bottom>
        <vertical/>
        <horizontal/>
      </border>
    </dxf>
    <dxf>
      <font>
        <b val="0"/>
        <i val="0"/>
        <color theme="0"/>
      </font>
      <fill>
        <patternFill patternType="solid">
          <fgColor theme="5"/>
          <bgColor theme="5"/>
        </patternFill>
      </fill>
      <border diagonalUp="0" diagonalDown="0">
        <left/>
        <right/>
        <top/>
        <bottom style="thin">
          <color theme="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 style="dotted">
          <color theme="8" tint="-9.9948118533890809E-2"/>
        </vertical>
        <horizontal style="dotted">
          <color theme="8" tint="-9.9948118533890809E-2"/>
        </horizontal>
      </border>
    </dxf>
  </dxfs>
  <tableStyles count="1" defaultTableStyle="TableStyleMedium2" defaultPivotStyle="PivotStyleLight16">
    <tableStyle name="TableStyleMedium3 2" pivot="0" count="7" xr9:uid="{00000000-0011-0000-FFFF-FFFF00000000}">
      <tableStyleElement type="wholeTable" dxfId="148"/>
      <tableStyleElement type="headerRow" dxfId="147"/>
      <tableStyleElement type="totalRow" dxfId="146"/>
      <tableStyleElement type="firstColumn" dxfId="145"/>
      <tableStyleElement type="lastColumn" dxfId="144"/>
      <tableStyleElement type="firstRowStripe" dxfId="143"/>
      <tableStyleElement type="firstColumnStripe" dxfId="1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利息结果2022!$C$6</c:f>
              <c:strCache>
                <c:ptCount val="1"/>
                <c:pt idx="0">
                  <c:v>估计费用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利息结果2022!$B$7:$B$23</c:f>
              <c:strCache>
                <c:ptCount val="16"/>
                <c:pt idx="0">
                  <c:v>新疆银行</c:v>
                </c:pt>
                <c:pt idx="1">
                  <c:v>富民银行1</c:v>
                </c:pt>
                <c:pt idx="2">
                  <c:v>富民银行2</c:v>
                </c:pt>
                <c:pt idx="3">
                  <c:v>蓝海银行1</c:v>
                </c:pt>
                <c:pt idx="4">
                  <c:v>蓝海银行2</c:v>
                </c:pt>
                <c:pt idx="5">
                  <c:v>苏宁银行</c:v>
                </c:pt>
                <c:pt idx="6">
                  <c:v>众邦银行</c:v>
                </c:pt>
                <c:pt idx="7">
                  <c:v>振兴银行1</c:v>
                </c:pt>
                <c:pt idx="8">
                  <c:v>振兴银行2</c:v>
                </c:pt>
                <c:pt idx="9">
                  <c:v>泸州银行</c:v>
                </c:pt>
                <c:pt idx="10">
                  <c:v>招商银行</c:v>
                </c:pt>
                <c:pt idx="11">
                  <c:v>公积金</c:v>
                </c:pt>
                <c:pt idx="12">
                  <c:v>支付宝</c:v>
                </c:pt>
                <c:pt idx="13">
                  <c:v>富途牛牛</c:v>
                </c:pt>
                <c:pt idx="14">
                  <c:v>微信</c:v>
                </c:pt>
                <c:pt idx="15">
                  <c:v>广发证券</c:v>
                </c:pt>
              </c:strCache>
            </c:strRef>
          </c:cat>
          <c:val>
            <c:numRef>
              <c:f>利息结果2022!$C$7:$C$23</c:f>
              <c:numCache>
                <c:formatCode>General</c:formatCode>
                <c:ptCount val="17"/>
                <c:pt idx="0">
                  <c:v>50</c:v>
                </c:pt>
                <c:pt idx="1">
                  <c:v>50</c:v>
                </c:pt>
                <c:pt idx="2">
                  <c:v>41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27</c:v>
                </c:pt>
                <c:pt idx="7">
                  <c:v>5</c:v>
                </c:pt>
                <c:pt idx="8">
                  <c:v>6</c:v>
                </c:pt>
                <c:pt idx="9">
                  <c:v>33</c:v>
                </c:pt>
                <c:pt idx="10">
                  <c:v>1.5</c:v>
                </c:pt>
                <c:pt idx="11">
                  <c:v>14</c:v>
                </c:pt>
                <c:pt idx="12">
                  <c:v>3</c:v>
                </c:pt>
                <c:pt idx="13">
                  <c:v>4</c:v>
                </c:pt>
                <c:pt idx="14">
                  <c:v>0.6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F-4F3B-B7C9-B667BE6D5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34022976"/>
        <c:axId val="534026256"/>
      </c:barChart>
      <c:catAx>
        <c:axId val="534022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534026256"/>
        <c:crosses val="autoZero"/>
        <c:auto val="1"/>
        <c:lblAlgn val="ctr"/>
        <c:lblOffset val="100"/>
        <c:noMultiLvlLbl val="0"/>
      </c:catAx>
      <c:valAx>
        <c:axId val="534026256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402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31893671401489E-2"/>
          <c:y val="4.1314553990610327E-2"/>
          <c:w val="0.89259937098027686"/>
          <c:h val="0.91737089201877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利息结果2022!$C$6</c:f>
              <c:strCache>
                <c:ptCount val="1"/>
                <c:pt idx="0">
                  <c:v>估计费用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利息结果2022!$B$7:$B$23</c:f>
              <c:strCache>
                <c:ptCount val="16"/>
                <c:pt idx="0">
                  <c:v>新疆银行</c:v>
                </c:pt>
                <c:pt idx="1">
                  <c:v>富民银行1</c:v>
                </c:pt>
                <c:pt idx="2">
                  <c:v>富民银行2</c:v>
                </c:pt>
                <c:pt idx="3">
                  <c:v>蓝海银行1</c:v>
                </c:pt>
                <c:pt idx="4">
                  <c:v>蓝海银行2</c:v>
                </c:pt>
                <c:pt idx="5">
                  <c:v>苏宁银行</c:v>
                </c:pt>
                <c:pt idx="6">
                  <c:v>众邦银行</c:v>
                </c:pt>
                <c:pt idx="7">
                  <c:v>振兴银行1</c:v>
                </c:pt>
                <c:pt idx="8">
                  <c:v>振兴银行2</c:v>
                </c:pt>
                <c:pt idx="9">
                  <c:v>泸州银行</c:v>
                </c:pt>
                <c:pt idx="10">
                  <c:v>招商银行</c:v>
                </c:pt>
                <c:pt idx="11">
                  <c:v>公积金</c:v>
                </c:pt>
                <c:pt idx="12">
                  <c:v>支付宝</c:v>
                </c:pt>
                <c:pt idx="13">
                  <c:v>富途牛牛</c:v>
                </c:pt>
                <c:pt idx="14">
                  <c:v>微信</c:v>
                </c:pt>
                <c:pt idx="15">
                  <c:v>广发证券</c:v>
                </c:pt>
              </c:strCache>
            </c:strRef>
          </c:cat>
          <c:val>
            <c:numRef>
              <c:f>利息结果2022!$C$7:$C$23</c:f>
              <c:numCache>
                <c:formatCode>General</c:formatCode>
                <c:ptCount val="17"/>
                <c:pt idx="0">
                  <c:v>50</c:v>
                </c:pt>
                <c:pt idx="1">
                  <c:v>50</c:v>
                </c:pt>
                <c:pt idx="2">
                  <c:v>41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27</c:v>
                </c:pt>
                <c:pt idx="7">
                  <c:v>5</c:v>
                </c:pt>
                <c:pt idx="8">
                  <c:v>6</c:v>
                </c:pt>
                <c:pt idx="9">
                  <c:v>33</c:v>
                </c:pt>
                <c:pt idx="10">
                  <c:v>1.5</c:v>
                </c:pt>
                <c:pt idx="11">
                  <c:v>14</c:v>
                </c:pt>
                <c:pt idx="12">
                  <c:v>3</c:v>
                </c:pt>
                <c:pt idx="13">
                  <c:v>4</c:v>
                </c:pt>
                <c:pt idx="14">
                  <c:v>0.6</c:v>
                </c:pt>
                <c:pt idx="1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B-4A8D-8C86-4AA000C47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34022976"/>
        <c:axId val="534026256"/>
      </c:barChart>
      <c:catAx>
        <c:axId val="534022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 UI" panose="020B0503020204020204" pitchFamily="34" charset="-122"/>
                <a:ea typeface="Microsoft YaHei UI" panose="020B0503020204020204" pitchFamily="34" charset="-122"/>
                <a:cs typeface="+mn-cs"/>
              </a:defRPr>
            </a:pPr>
            <a:endParaRPr lang="zh-CN"/>
          </a:p>
        </c:txPr>
        <c:crossAx val="534026256"/>
        <c:crosses val="autoZero"/>
        <c:auto val="1"/>
        <c:lblAlgn val="ctr"/>
        <c:lblOffset val="100"/>
        <c:noMultiLvlLbl val="0"/>
      </c:catAx>
      <c:valAx>
        <c:axId val="534026256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402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Microsoft YaHei UI" panose="020B0503020204020204" pitchFamily="34" charset="-122"/>
          <a:ea typeface="Microsoft YaHei UI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327660</xdr:colOff>
      <xdr:row>1</xdr:row>
      <xdr:rowOff>9956</xdr:rowOff>
    </xdr:from>
    <xdr:to>
      <xdr:col>7</xdr:col>
      <xdr:colOff>0</xdr:colOff>
      <xdr:row>2</xdr:row>
      <xdr:rowOff>2035</xdr:rowOff>
    </xdr:to>
    <xdr:pic>
      <xdr:nvPicPr>
        <xdr:cNvPr id="6" name="图片 5" descr="装饰元素。一张戴着婚戒的两只手的照片。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191000" y="124256"/>
          <a:ext cx="1790700" cy="127223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1</xdr:rowOff>
    </xdr:from>
    <xdr:to>
      <xdr:col>7</xdr:col>
      <xdr:colOff>0</xdr:colOff>
      <xdr:row>4</xdr:row>
      <xdr:rowOff>1</xdr:rowOff>
    </xdr:to>
    <xdr:graphicFrame macro="">
      <xdr:nvGraphicFramePr>
        <xdr:cNvPr id="2" name="图表 1" descr="按类别汇总婚礼预算的图表。类别项根据预估费用按降序顺序显示。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990600</xdr:colOff>
      <xdr:row>0</xdr:row>
      <xdr:rowOff>0</xdr:rowOff>
    </xdr:from>
    <xdr:to>
      <xdr:col>4</xdr:col>
      <xdr:colOff>619125</xdr:colOff>
      <xdr:row>2</xdr:row>
      <xdr:rowOff>2035</xdr:rowOff>
    </xdr:to>
    <xdr:pic>
      <xdr:nvPicPr>
        <xdr:cNvPr id="8" name="图片 7" descr="装饰元素。漂浮的花朵。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35580" y="0"/>
          <a:ext cx="2070735" cy="1396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</xdr:colOff>
      <xdr:row>0</xdr:row>
      <xdr:rowOff>30480</xdr:rowOff>
    </xdr:from>
    <xdr:to>
      <xdr:col>6</xdr:col>
      <xdr:colOff>3810</xdr:colOff>
      <xdr:row>2</xdr:row>
      <xdr:rowOff>174614</xdr:rowOff>
    </xdr:to>
    <xdr:pic>
      <xdr:nvPicPr>
        <xdr:cNvPr id="2" name="图片 1" descr="装饰元素。漂浮的花朵。">
          <a:extLst>
            <a:ext uri="{FF2B5EF4-FFF2-40B4-BE49-F238E27FC236}">
              <a16:creationId xmlns:a16="http://schemas.microsoft.com/office/drawing/2014/main" id="{894F1BD3-52AB-4A4C-977C-75257C631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364605" y="30480"/>
          <a:ext cx="1392555" cy="7727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</xdr:rowOff>
    </xdr:from>
    <xdr:to>
      <xdr:col>7</xdr:col>
      <xdr:colOff>0</xdr:colOff>
      <xdr:row>4</xdr:row>
      <xdr:rowOff>1</xdr:rowOff>
    </xdr:to>
    <xdr:graphicFrame macro="">
      <xdr:nvGraphicFramePr>
        <xdr:cNvPr id="3" name="图表 2" descr="按类别汇总婚礼预算的图表。类别项根据预估费用按降序顺序显示。">
          <a:extLst>
            <a:ext uri="{FF2B5EF4-FFF2-40B4-BE49-F238E27FC236}">
              <a16:creationId xmlns:a16="http://schemas.microsoft.com/office/drawing/2014/main" id="{7AA4B620-A938-4823-96E0-4A30FA525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BL_Summary" displayName="TBL_Summary" ref="B6:G24" totalsRowCount="1" headerRowDxfId="141" dataDxfId="140" totalsRowDxfId="139">
  <tableColumns count="6">
    <tableColumn id="1" xr3:uid="{00000000-0010-0000-0000-000001000000}" name="银行" totalsRowLabel="汇总" dataDxfId="138" totalsRowDxfId="137"/>
    <tableColumn id="2" xr3:uid="{00000000-0010-0000-0000-000002000000}" name="估计费用" totalsRowFunction="sum" dataDxfId="136" totalsRowDxfId="135"/>
    <tableColumn id="3" xr3:uid="{00000000-0010-0000-0000-000003000000}" name="利率" totalsRowFunction="sum" dataDxfId="134" totalsRowDxfId="133"/>
    <tableColumn id="6" xr3:uid="{A9101769-7B05-425A-A2AF-EE5E8E216D72}" name="实得利息" totalsRowFunction="custom" dataDxfId="132" totalsRowDxfId="131">
      <totalsRowFormula>SUM(E7:E23)</totalsRowFormula>
    </tableColumn>
    <tableColumn id="4" xr3:uid="{00000000-0010-0000-0000-000004000000}" name="应得利息" totalsRowFunction="custom" dataDxfId="130" totalsRowDxfId="129">
      <calculatedColumnFormula>TBL_Summary[[#This Row],[利率]]*TBL_Summary[[#This Row],[估计费用]]/12 * 10000</calculatedColumnFormula>
      <totalsRowFormula>SUM(F7:F23)</totalsRowFormula>
    </tableColumn>
    <tableColumn id="5" xr3:uid="{00000000-0010-0000-0000-000005000000}" name="预算百分比" totalsRowFunction="sum" dataDxfId="128" totalsRowDxfId="127"/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按支出类别列出的预算汇总的表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_Reception" displayName="TBL_Reception" ref="B4:E10" totalsRowCount="1" headerRowDxfId="126" dataDxfId="125" totalsRowDxfId="124">
  <tableColumns count="4">
    <tableColumn id="1" xr3:uid="{00000000-0010-0000-0100-000001000000}" name="宴会" totalsRowLabel="汇总" dataDxfId="123" totalsRowDxfId="122"/>
    <tableColumn id="2" xr3:uid="{00000000-0010-0000-0100-000002000000}" name="估计费用" totalsRowFunction="sum" dataDxfId="121" totalsRowDxfId="120"/>
    <tableColumn id="3" xr3:uid="{00000000-0010-0000-0100-000003000000}" name="实际费用" totalsRowFunction="sum" dataDxfId="119" totalsRowDxfId="118"/>
    <tableColumn id="4" xr3:uid="{00000000-0010-0000-0100-000004000000}" name="差额" totalsRowFunction="custom" dataDxfId="117" totalsRowDxfId="116">
      <calculatedColumnFormula>IF(OR(TBL_Reception[[#This Row],[估计费用]]="",TBL_Reception[[#This Row],[实际费用]]=""),"",TBL_Reception[[#This Row],[估计费用]]-TBL_Reception[[#This Row],[实际费用]])</calculatedColumnFormula>
      <totalsRowFormula>TBL_Reception[[#Totals],[估计费用]]-TBL_Reception[[#Totals],[实际费用]]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宾客接待相关的费用的表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_Attire" displayName="TBL_Attire" ref="B12:E19" totalsRowCount="1" headerRowDxfId="115" dataDxfId="114" totalsRowDxfId="113">
  <tableColumns count="4">
    <tableColumn id="1" xr3:uid="{00000000-0010-0000-0200-000001000000}" name="着装" totalsRowLabel="汇总" dataDxfId="112" totalsRowDxfId="111"/>
    <tableColumn id="2" xr3:uid="{00000000-0010-0000-0200-000002000000}" name="估计费用" totalsRowFunction="sum" dataDxfId="110" totalsRowDxfId="109"/>
    <tableColumn id="3" xr3:uid="{00000000-0010-0000-0200-000003000000}" name="实际费用" totalsRowFunction="sum" dataDxfId="108" totalsRowDxfId="107"/>
    <tableColumn id="4" xr3:uid="{00000000-0010-0000-0200-000004000000}" name="差额" totalsRowFunction="custom" dataDxfId="106" totalsRowDxfId="105">
      <totalsRowFormula>TBL_Attire[[#Totals],[估计费用]]-TBL_Attire[[#Totals],[实际费用]]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服装相关的费用的表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FlowersAndDecor" displayName="TBL_FlowersAndDecor" ref="B21:E31" totalsRowCount="1" headerRowDxfId="104" dataDxfId="103" totalsRowDxfId="102">
  <tableColumns count="4">
    <tableColumn id="1" xr3:uid="{00000000-0010-0000-0300-000001000000}" name="花卉和装饰" totalsRowLabel="汇总" dataDxfId="101" totalsRowDxfId="100"/>
    <tableColumn id="2" xr3:uid="{00000000-0010-0000-0300-000002000000}" name="估计费用" totalsRowFunction="sum" dataDxfId="99" totalsRowDxfId="98"/>
    <tableColumn id="3" xr3:uid="{00000000-0010-0000-0300-000003000000}" name="实际费用" totalsRowFunction="sum" dataDxfId="97" totalsRowDxfId="96"/>
    <tableColumn id="4" xr3:uid="{00000000-0010-0000-0300-000004000000}" name="差额" totalsRowFunction="custom" dataDxfId="95" totalsRowDxfId="94">
      <totalsRowFormula>TBL_FlowersAndDecor[[#Totals],[估计费用]]-TBL_FlowersAndDecor[[#Totals],[实际费用]]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花卉和装饰相关的费用的表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_Music" displayName="TBL_Music" ref="B33:E39" totalsRowCount="1" headerRowDxfId="93" dataDxfId="92" totalsRowDxfId="91">
  <tableColumns count="4">
    <tableColumn id="1" xr3:uid="{00000000-0010-0000-0400-000001000000}" name="音乐" totalsRowLabel="汇总" dataDxfId="90" totalsRowDxfId="89"/>
    <tableColumn id="2" xr3:uid="{00000000-0010-0000-0400-000002000000}" name="估计费用" totalsRowFunction="sum" dataDxfId="88" totalsRowDxfId="87"/>
    <tableColumn id="3" xr3:uid="{00000000-0010-0000-0400-000003000000}" name="实际费用" totalsRowFunction="sum" dataDxfId="86" totalsRowDxfId="85"/>
    <tableColumn id="4" xr3:uid="{00000000-0010-0000-0400-000004000000}" name="差额" totalsRowFunction="custom" dataDxfId="84" totalsRowDxfId="83">
      <totalsRowFormula>TBL_Music[[#Totals],[估计费用]]-TBL_Music[[#Totals],[实际费用]]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音乐相关的费用的表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_PhotographsAndVideo" displayName="TBL_PhotographsAndVideo" ref="B41:E46" totalsRowCount="1" headerRowDxfId="82" dataDxfId="81" totalsRowDxfId="80">
  <tableColumns count="4">
    <tableColumn id="1" xr3:uid="{00000000-0010-0000-0500-000001000000}" name="图片和视频" totalsRowLabel="汇总" dataDxfId="79" totalsRowDxfId="78"/>
    <tableColumn id="2" xr3:uid="{00000000-0010-0000-0500-000002000000}" name="估计费用" totalsRowFunction="sum" dataDxfId="77" totalsRowDxfId="76"/>
    <tableColumn id="3" xr3:uid="{00000000-0010-0000-0500-000003000000}" name="实际费用" totalsRowFunction="sum" dataDxfId="75" totalsRowDxfId="74"/>
    <tableColumn id="4" xr3:uid="{00000000-0010-0000-0500-000004000000}" name="差额" totalsRowFunction="custom" dataDxfId="73" totalsRowDxfId="72">
      <totalsRowFormula>TBL_PhotographsAndVideo[[#Totals],[估计费用]]-TBL_PhotographsAndVideo[[#Totals],[实际费用]]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照片和视频相关的费用的表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_FavorsAndGifts" displayName="TBL_FavorsAndGifts" ref="B48:E52" totalsRowCount="1" headerRowDxfId="71" dataDxfId="70" totalsRowDxfId="69">
  <tableColumns count="4">
    <tableColumn id="1" xr3:uid="{00000000-0010-0000-0600-000001000000}" name="惠赠和礼品" totalsRowLabel="汇总" dataDxfId="68" totalsRowDxfId="67"/>
    <tableColumn id="2" xr3:uid="{00000000-0010-0000-0600-000002000000}" name="估计费用" totalsRowFunction="sum" dataDxfId="66" totalsRowDxfId="65"/>
    <tableColumn id="3" xr3:uid="{00000000-0010-0000-0600-000003000000}" name="实际费用" totalsRowFunction="sum" dataDxfId="64" totalsRowDxfId="63"/>
    <tableColumn id="4" xr3:uid="{00000000-0010-0000-0600-000004000000}" name="差额" totalsRowFunction="custom" dataDxfId="62" totalsRowDxfId="61">
      <totalsRowFormula>TBL_FavorsAndGifts[[#Totals],[估计费用]]-TBL_FavorsAndGifts[[#Totals],[实际费用]]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礼品和礼物相关的费用的表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_Ceremony" displayName="TBL_Ceremony" ref="B54:E58" totalsRowCount="1" headerRowDxfId="60" dataDxfId="59" totalsRowDxfId="58">
  <tableColumns count="4">
    <tableColumn id="1" xr3:uid="{00000000-0010-0000-0700-000001000000}" name="典礼" totalsRowLabel="汇总" dataDxfId="57" totalsRowDxfId="56"/>
    <tableColumn id="2" xr3:uid="{00000000-0010-0000-0700-000002000000}" name="估计费用" totalsRowFunction="sum" dataDxfId="55" totalsRowDxfId="54"/>
    <tableColumn id="3" xr3:uid="{00000000-0010-0000-0700-000003000000}" name="实际费用" totalsRowFunction="sum" dataDxfId="53" totalsRowDxfId="52"/>
    <tableColumn id="4" xr3:uid="{00000000-0010-0000-0700-000004000000}" name="差额" totalsRowFunction="custom" dataDxfId="51" totalsRowDxfId="50">
      <totalsRowFormula>TBL_Ceremony[[#Totals],[估计费用]]-TBL_Ceremony[[#Totals],[实际费用]]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婚礼仪式相关的费用的表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BL_Stationery" displayName="TBL_Stationery" ref="B60:E69" totalsRowCount="1" headerRowDxfId="49" dataDxfId="48" totalsRowDxfId="47">
  <tableColumns count="4">
    <tableColumn id="1" xr3:uid="{00000000-0010-0000-0800-000001000000}" name="纸品" totalsRowLabel="汇总" dataDxfId="46" totalsRowDxfId="45"/>
    <tableColumn id="2" xr3:uid="{00000000-0010-0000-0800-000002000000}" name="估计费用" totalsRowFunction="sum" dataDxfId="44" totalsRowDxfId="43"/>
    <tableColumn id="3" xr3:uid="{00000000-0010-0000-0800-000003000000}" name="实际费用" totalsRowFunction="sum" dataDxfId="42" totalsRowDxfId="41"/>
    <tableColumn id="4" xr3:uid="{00000000-0010-0000-0800-000004000000}" name="差额" totalsRowFunction="custom" dataDxfId="40" totalsRowDxfId="39">
      <totalsRowFormula>TBL_Stationery[[#Totals],[估计费用]]-TBL_Stationery[[#Totals],[实际费用]]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纸质用品相关的费用的表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BL_WeddingRings" displayName="TBL_WeddingRings" ref="B71:E74" totalsRowCount="1" headerRowDxfId="38" dataDxfId="37" totalsRowDxfId="36">
  <tableColumns count="4">
    <tableColumn id="1" xr3:uid="{00000000-0010-0000-0900-000001000000}" name="结婚戒指" totalsRowLabel="汇总" dataDxfId="35" totalsRowDxfId="34"/>
    <tableColumn id="2" xr3:uid="{00000000-0010-0000-0900-000002000000}" name="估计费用" totalsRowFunction="sum" dataDxfId="33" totalsRowDxfId="32"/>
    <tableColumn id="3" xr3:uid="{00000000-0010-0000-0900-000003000000}" name="实际费用" totalsRowFunction="sum" dataDxfId="31" totalsRowDxfId="30"/>
    <tableColumn id="4" xr3:uid="{00000000-0010-0000-0900-000004000000}" name="差额" totalsRowFunction="custom" dataDxfId="29" totalsRowDxfId="28">
      <totalsRowFormula>TBL_WeddingRings[[#Totals],[估计费用]]-TBL_WeddingRings[[#Totals],[实际费用]]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婚戒相关的费用的表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BL_Transportation" displayName="TBL_Transportation" ref="B76:E82" totalsRowCount="1" headerRowDxfId="27" dataDxfId="26" totalsRowDxfId="25">
  <tableColumns count="4">
    <tableColumn id="1" xr3:uid="{00000000-0010-0000-0A00-000001000000}" name="交通" totalsRowLabel="汇总" dataDxfId="24" totalsRowDxfId="23"/>
    <tableColumn id="2" xr3:uid="{00000000-0010-0000-0A00-000002000000}" name="估计费用" totalsRowFunction="sum" dataDxfId="22" totalsRowDxfId="21"/>
    <tableColumn id="3" xr3:uid="{00000000-0010-0000-0A00-000003000000}" name="实际费用" totalsRowFunction="sum" dataDxfId="20" totalsRowDxfId="19"/>
    <tableColumn id="4" xr3:uid="{00000000-0010-0000-0A00-000004000000}" name="差额" totalsRowFunction="custom" dataDxfId="18" totalsRowDxfId="17">
      <totalsRowFormula>TBL_Transportation[[#Totals],[估计费用]]-TBL_Transportation[[#Totals],[实际费用]]</totalsRowFormula>
    </tableColumn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与交通相关的费用的表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B94A268-5A14-4FF0-ABF2-178573431C47}" name="TBL_Summary13" displayName="TBL_Summary13" ref="B6:H27" totalsRowCount="1" headerRowDxfId="16" dataDxfId="15" totalsRowDxfId="14">
  <tableColumns count="7">
    <tableColumn id="1" xr3:uid="{6DADAB75-2C5A-4A77-995D-9B5EB0CC742D}" name="银行" totalsRowLabel="汇总" dataDxfId="13" totalsRowDxfId="6"/>
    <tableColumn id="2" xr3:uid="{5EB108A9-7D7D-458B-B894-D015DA3CB14F}" name="估计费用" totalsRowFunction="sum" dataDxfId="12" totalsRowDxfId="5"/>
    <tableColumn id="3" xr3:uid="{E0A627C3-C541-48D1-BC21-04F575652D7A}" name="利率" totalsRowFunction="sum" dataDxfId="11" totalsRowDxfId="4"/>
    <tableColumn id="6" xr3:uid="{D897DE92-6094-47A0-BFF7-2996D48D84A3}" name="实得利息" totalsRowFunction="custom" dataDxfId="10" totalsRowDxfId="3">
      <calculatedColumnFormula>TBL_Summary13[[#This Row],[应得利息]]-TBL_Summary13[[#This Row],[应得利息]]*20%</calculatedColumnFormula>
      <totalsRowFormula>SUM(E7:E26)</totalsRowFormula>
    </tableColumn>
    <tableColumn id="4" xr3:uid="{28E10CFC-8E7C-4E20-BD5C-0CD3A023C87F}" name="应得利息" totalsRowFunction="custom" dataDxfId="9" totalsRowDxfId="2">
      <calculatedColumnFormula>TBL_Summary13[[#This Row],[利率]]*TBL_Summary13[[#This Row],[估计费用]]/12 * 10000</calculatedColumnFormula>
      <totalsRowFormula>SUM(F7:F26)</totalsRowFormula>
    </tableColumn>
    <tableColumn id="5" xr3:uid="{28759FBE-24C7-48DB-9578-37053B3F04D1}" name="预算百分比" totalsRowFunction="sum" dataDxfId="8" totalsRowDxfId="1"/>
    <tableColumn id="7" xr3:uid="{D63B4503-27A5-4575-BF50-ABC1E0CDAEB5}" name="积分" dataDxfId="7" totalsRowDxfId="0"/>
  </tableColumns>
  <tableStyleInfo name="TableStyleMedium3 2" showFirstColumn="0" showLastColumn="0" showRowStripes="0" showColumnStripes="0"/>
  <extLst>
    <ext xmlns:x14="http://schemas.microsoft.com/office/spreadsheetml/2009/9/main" uri="{504A1905-F514-4f6f-8877-14C23A59335A}">
      <x14:table altTextSummary="包含按支出类别列出的预算汇总的表"/>
    </ext>
  </extLst>
</table>
</file>

<file path=xl/theme/theme1.xml><?xml version="1.0" encoding="utf-8"?>
<a:theme xmlns:a="http://schemas.openxmlformats.org/drawingml/2006/main" name="Wedding Timeline Planner">
  <a:themeElements>
    <a:clrScheme name="Custom 12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746B8D"/>
      </a:accent1>
      <a:accent2>
        <a:srgbClr val="FF9999"/>
      </a:accent2>
      <a:accent3>
        <a:srgbClr val="DBDBDB"/>
      </a:accent3>
      <a:accent4>
        <a:srgbClr val="FFC000"/>
      </a:accent4>
      <a:accent5>
        <a:srgbClr val="FCDCD2"/>
      </a:accent5>
      <a:accent6>
        <a:srgbClr val="E2EFD9"/>
      </a:accent6>
      <a:hlink>
        <a:srgbClr val="0563C1"/>
      </a:hlink>
      <a:folHlink>
        <a:srgbClr val="954F72"/>
      </a:folHlink>
    </a:clrScheme>
    <a:fontScheme name="Custom 1">
      <a:majorFont>
        <a:latin typeface="Tw Cen MT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Q31"/>
  <sheetViews>
    <sheetView showGridLines="0" topLeftCell="A4" zoomScaleNormal="100" workbookViewId="0">
      <selection activeCell="C22" sqref="C22"/>
    </sheetView>
  </sheetViews>
  <sheetFormatPr defaultColWidth="9.1328125" defaultRowHeight="21" customHeight="1" x14ac:dyDescent="0.5"/>
  <cols>
    <col min="1" max="1" width="1.6640625" style="18" customWidth="1"/>
    <col min="2" max="2" width="24.1328125" style="17" customWidth="1"/>
    <col min="3" max="5" width="15.6640625" style="18" customWidth="1"/>
    <col min="6" max="6" width="14.19921875" style="18" customWidth="1"/>
    <col min="7" max="7" width="13.33203125" style="18" customWidth="1"/>
    <col min="8" max="8" width="1.6640625" style="18" customWidth="1"/>
    <col min="9" max="10" width="9.1328125" style="18"/>
    <col min="11" max="11" width="20.1328125" style="19" hidden="1" customWidth="1"/>
    <col min="12" max="12" width="13.3984375" style="19" hidden="1" customWidth="1"/>
    <col min="13" max="13" width="10.6640625" style="19" hidden="1" customWidth="1"/>
    <col min="14" max="14" width="22.73046875" style="18" hidden="1" customWidth="1"/>
    <col min="15" max="15" width="4.86328125" style="18" hidden="1" customWidth="1"/>
    <col min="16" max="16" width="3" style="18" hidden="1" customWidth="1"/>
    <col min="17" max="17" width="20.1328125" style="19" hidden="1" customWidth="1"/>
    <col min="18" max="16384" width="9.1328125" style="18"/>
  </cols>
  <sheetData>
    <row r="1" spans="2:17" ht="9" customHeight="1" x14ac:dyDescent="0.5">
      <c r="H1" s="19" t="s">
        <v>5</v>
      </c>
    </row>
    <row r="2" spans="2:17" s="23" customFormat="1" ht="101.25" customHeight="1" x14ac:dyDescent="0.5">
      <c r="B2" s="20" t="s">
        <v>67</v>
      </c>
      <c r="C2" s="21"/>
      <c r="D2" s="21"/>
      <c r="E2" s="21"/>
      <c r="F2" s="21"/>
      <c r="G2" s="22"/>
      <c r="K2" s="24"/>
      <c r="L2" s="24"/>
      <c r="M2" s="24"/>
      <c r="Q2" s="24"/>
    </row>
    <row r="3" spans="2:17" ht="18" customHeight="1" x14ac:dyDescent="0.5"/>
    <row r="4" spans="2:17" ht="266.25" customHeight="1" x14ac:dyDescent="0.5">
      <c r="B4" s="25" t="s">
        <v>0</v>
      </c>
    </row>
    <row r="5" spans="2:17" ht="18" customHeight="1" x14ac:dyDescent="0.5"/>
    <row r="6" spans="2:17" ht="29.25" customHeight="1" x14ac:dyDescent="0.5">
      <c r="B6" s="26" t="s">
        <v>68</v>
      </c>
      <c r="C6" s="27" t="s">
        <v>1</v>
      </c>
      <c r="D6" s="27" t="s">
        <v>81</v>
      </c>
      <c r="E6" s="27" t="s">
        <v>82</v>
      </c>
      <c r="F6" s="27" t="s">
        <v>83</v>
      </c>
      <c r="G6" s="26" t="s">
        <v>4</v>
      </c>
      <c r="K6" s="19" t="s">
        <v>6</v>
      </c>
      <c r="L6" s="18" t="s">
        <v>1</v>
      </c>
      <c r="M6" s="18" t="s">
        <v>2</v>
      </c>
      <c r="N6" s="28" t="s">
        <v>17</v>
      </c>
      <c r="O6" s="18" t="s">
        <v>18</v>
      </c>
      <c r="P6" s="18" t="s">
        <v>19</v>
      </c>
      <c r="Q6" s="19" t="s">
        <v>20</v>
      </c>
    </row>
    <row r="7" spans="2:17" ht="21" customHeight="1" x14ac:dyDescent="0.5">
      <c r="B7" s="17" t="s">
        <v>69</v>
      </c>
      <c r="C7" s="18">
        <v>50</v>
      </c>
      <c r="D7" s="34">
        <v>0.04</v>
      </c>
      <c r="E7" s="35">
        <v>1655</v>
      </c>
      <c r="F7" s="35">
        <f>TBL_Summary[[#This Row],[利率]]*TBL_Summary[[#This Row],[估计费用]]/12 * 10000</f>
        <v>1666.6666666666665</v>
      </c>
      <c r="G7" s="29">
        <f>TBL_Summary[[#This Row],[估计费用]]/SUM(TBL_Summary[估计费用])</f>
        <v>0.16661112962345884</v>
      </c>
      <c r="K7" s="19" t="s">
        <v>7</v>
      </c>
      <c r="L7" s="18">
        <f>TBL_Reception[[#Totals],[估计费用]]</f>
        <v>14500</v>
      </c>
      <c r="M7" s="18">
        <f>TBL_Reception[[#Totals],[实际费用]]</f>
        <v>12800</v>
      </c>
      <c r="N7" s="18">
        <f>L7-P7/100</f>
        <v>14499.99</v>
      </c>
      <c r="O7" s="18">
        <f>_xlfn.RANK.AVG(N7,$N$7:$N$23)</f>
        <v>1</v>
      </c>
      <c r="P7" s="18">
        <v>1</v>
      </c>
      <c r="Q7" s="19" t="str">
        <f>INDEX(TBL_RankingData,MATCH(P7,$O$7:$O$23,0),1)</f>
        <v>宴会</v>
      </c>
    </row>
    <row r="8" spans="2:17" ht="21" customHeight="1" x14ac:dyDescent="0.5">
      <c r="B8" s="17" t="s">
        <v>70</v>
      </c>
      <c r="C8" s="18">
        <v>50</v>
      </c>
      <c r="D8" s="34">
        <v>4.5999999999999999E-2</v>
      </c>
      <c r="E8" s="18">
        <v>1600</v>
      </c>
      <c r="F8" s="35">
        <f>TBL_Summary[[#This Row],[利率]]*TBL_Summary[[#This Row],[估计费用]]/12 * 10000</f>
        <v>1916.6666666666665</v>
      </c>
      <c r="G8" s="29">
        <f>TBL_Summary[[#This Row],[估计费用]]/SUM(TBL_Summary[估计费用])</f>
        <v>0.16661112962345884</v>
      </c>
      <c r="K8" s="19" t="s">
        <v>8</v>
      </c>
      <c r="L8" s="18">
        <f>TBL_Attire[[#Totals],[估计费用]]</f>
        <v>4000</v>
      </c>
      <c r="M8" s="18">
        <f>TBL_Attire[[#Totals],[实际费用]]</f>
        <v>2900</v>
      </c>
      <c r="N8" s="18">
        <f t="shared" ref="N8:N23" si="0">L8-P8/100</f>
        <v>3999.98</v>
      </c>
      <c r="O8" s="18">
        <f>_xlfn.RANK.AVG(N8,$N$7:$N$23)</f>
        <v>2</v>
      </c>
      <c r="P8" s="18">
        <v>2</v>
      </c>
      <c r="Q8" s="19" t="str">
        <f>INDEX(TBL_RankingData,MATCH(P8,$O$7:$O$23,0),1)</f>
        <v>服装</v>
      </c>
    </row>
    <row r="9" spans="2:17" ht="21" customHeight="1" x14ac:dyDescent="0.5">
      <c r="B9" s="17" t="s">
        <v>71</v>
      </c>
      <c r="C9" s="18">
        <v>41</v>
      </c>
      <c r="D9" s="34">
        <v>4.5999999999999999E-2</v>
      </c>
      <c r="E9" s="18">
        <v>700</v>
      </c>
      <c r="F9" s="35">
        <f>TBL_Summary[[#This Row],[利率]]*TBL_Summary[[#This Row],[估计费用]]/12 * 10000</f>
        <v>1571.6666666666665</v>
      </c>
      <c r="G9" s="29">
        <f>TBL_Summary[[#This Row],[估计费用]]/SUM(TBL_Summary[估计费用])</f>
        <v>0.13662112629123624</v>
      </c>
      <c r="K9" s="19" t="s">
        <v>9</v>
      </c>
      <c r="L9" s="18">
        <f>TBL_FlowersAndDecor[[#Totals],[估计费用]]</f>
        <v>3000</v>
      </c>
      <c r="M9" s="18">
        <f>TBL_FlowersAndDecor[[#Totals],[实际费用]]</f>
        <v>0</v>
      </c>
      <c r="N9" s="18">
        <f t="shared" si="0"/>
        <v>2999.97</v>
      </c>
      <c r="O9" s="18">
        <f>_xlfn.RANK.AVG(N9,$N$7:$N$23)</f>
        <v>3</v>
      </c>
      <c r="P9" s="18">
        <v>3</v>
      </c>
      <c r="Q9" s="19" t="str">
        <f>INDEX(TBL_RankingData,MATCH(P9,$O$7:$O$23,0),1)</f>
        <v>花卉和装饰</v>
      </c>
    </row>
    <row r="10" spans="2:17" ht="21" customHeight="1" x14ac:dyDescent="0.5">
      <c r="B10" s="17" t="s">
        <v>72</v>
      </c>
      <c r="C10" s="18">
        <v>20</v>
      </c>
      <c r="D10" s="34">
        <v>0.04</v>
      </c>
      <c r="E10" s="18">
        <v>700</v>
      </c>
      <c r="F10" s="35">
        <f>TBL_Summary[[#This Row],[利率]]*TBL_Summary[[#This Row],[估计费用]]/12 * 10000</f>
        <v>666.66666666666663</v>
      </c>
      <c r="G10" s="29">
        <f>TBL_Summary[[#This Row],[估计费用]]/SUM(TBL_Summary[估计费用])</f>
        <v>6.6644451849383529E-2</v>
      </c>
      <c r="K10" s="19" t="s">
        <v>10</v>
      </c>
      <c r="L10" s="18">
        <f>TBL_Music[[#Totals],[估计费用]]</f>
        <v>1800</v>
      </c>
      <c r="M10" s="18">
        <f>TBL_Music[[#Totals],[实际费用]]</f>
        <v>0</v>
      </c>
      <c r="N10" s="18">
        <f t="shared" si="0"/>
        <v>1799.96</v>
      </c>
      <c r="O10" s="18">
        <f>_xlfn.RANK.AVG(N10,$N$7:$N$23)</f>
        <v>5</v>
      </c>
      <c r="P10" s="18">
        <v>4</v>
      </c>
      <c r="Q10" s="19" t="str">
        <f>INDEX(TBL_RankingData,MATCH(P10,$O$7:$O$23,0),1)</f>
        <v>图片和视频</v>
      </c>
    </row>
    <row r="11" spans="2:17" ht="21" customHeight="1" x14ac:dyDescent="0.5">
      <c r="B11" s="17" t="s">
        <v>73</v>
      </c>
      <c r="C11" s="18">
        <v>20</v>
      </c>
      <c r="D11" s="34">
        <v>0.04</v>
      </c>
      <c r="E11" s="18">
        <v>666</v>
      </c>
      <c r="F11" s="35">
        <f>TBL_Summary[[#This Row],[利率]]*TBL_Summary[[#This Row],[估计费用]]/12 * 10000</f>
        <v>666.66666666666663</v>
      </c>
      <c r="G11" s="29">
        <f>G10</f>
        <v>6.6644451849383529E-2</v>
      </c>
      <c r="K11" s="19" t="s">
        <v>11</v>
      </c>
      <c r="L11" s="18">
        <f>TBL_PhotographsAndVideo[[#Totals],[估计费用]]</f>
        <v>2500</v>
      </c>
      <c r="M11" s="18">
        <f>TBL_PhotographsAndVideo[[#Totals],[实际费用]]</f>
        <v>0</v>
      </c>
      <c r="N11" s="18">
        <f t="shared" si="0"/>
        <v>2499.9499999999998</v>
      </c>
      <c r="O11" s="18">
        <f>_xlfn.RANK.AVG(N11,$N$7:$N$23)</f>
        <v>4</v>
      </c>
      <c r="P11" s="18">
        <v>5</v>
      </c>
      <c r="Q11" s="19" t="str">
        <f>INDEX(TBL_RankingData,MATCH(P11,$O$7:$O$23,0),1)</f>
        <v>音乐</v>
      </c>
    </row>
    <row r="12" spans="2:17" ht="21" customHeight="1" x14ac:dyDescent="0.5">
      <c r="B12" s="17" t="s">
        <v>86</v>
      </c>
      <c r="C12" s="18">
        <v>20</v>
      </c>
      <c r="D12" s="34">
        <v>4.0500000000000001E-2</v>
      </c>
      <c r="E12" s="18">
        <v>0</v>
      </c>
      <c r="F12" s="35">
        <f>TBL_Summary[[#This Row],[利率]]*TBL_Summary[[#This Row],[估计费用]]/12 * 10000</f>
        <v>675</v>
      </c>
      <c r="G12" s="29">
        <f>TBL_Summary[[#This Row],[估计费用]]/SUM(TBL_Summary[估计费用])</f>
        <v>6.6644451849383529E-2</v>
      </c>
      <c r="L12" s="18"/>
      <c r="M12" s="18"/>
    </row>
    <row r="13" spans="2:17" ht="21" customHeight="1" x14ac:dyDescent="0.5">
      <c r="B13" s="17" t="s">
        <v>87</v>
      </c>
      <c r="C13" s="18">
        <v>27</v>
      </c>
      <c r="D13" s="34">
        <v>4.4499999999999998E-2</v>
      </c>
      <c r="E13" s="18">
        <v>1000</v>
      </c>
      <c r="F13" s="35">
        <f>TBL_Summary[[#This Row],[利率]]*TBL_Summary[[#This Row],[估计费用]]/12 * 10000</f>
        <v>1001.25</v>
      </c>
      <c r="G13" s="29">
        <f>TBL_Summary[[#This Row],[估计费用]]/SUM(TBL_Summary[估计费用])</f>
        <v>8.9970009996667766E-2</v>
      </c>
      <c r="L13" s="18"/>
      <c r="M13" s="18"/>
    </row>
    <row r="14" spans="2:17" ht="21" customHeight="1" x14ac:dyDescent="0.5">
      <c r="B14" s="17" t="s">
        <v>74</v>
      </c>
      <c r="C14" s="18">
        <v>5</v>
      </c>
      <c r="D14" s="34">
        <v>0.04</v>
      </c>
      <c r="E14" s="18">
        <v>300</v>
      </c>
      <c r="F14" s="35">
        <f>TBL_Summary[[#This Row],[利率]]*TBL_Summary[[#This Row],[估计费用]]/12 * 10000</f>
        <v>166.66666666666666</v>
      </c>
      <c r="G14" s="29">
        <f>TBL_Summary[[#This Row],[估计费用]]/SUM(TBL_Summary[估计费用])</f>
        <v>1.6661112962345882E-2</v>
      </c>
      <c r="K14" s="19" t="s">
        <v>12</v>
      </c>
      <c r="L14" s="18">
        <f>TBL_FavorsAndGifts[[#Totals],[估计费用]]</f>
        <v>1100</v>
      </c>
      <c r="M14" s="18">
        <f>TBL_FavorsAndGifts[[#Totals],[实际费用]]</f>
        <v>0</v>
      </c>
      <c r="N14" s="18">
        <f t="shared" si="0"/>
        <v>1099.94</v>
      </c>
      <c r="O14" s="18">
        <f>_xlfn.RANK.AVG(N14,$N$7:$N$23)</f>
        <v>6</v>
      </c>
      <c r="P14" s="18">
        <v>6</v>
      </c>
      <c r="Q14" s="19" t="str">
        <f>INDEX(TBL_RankingData,MATCH(P14,$O$7:$O$23,0),1)</f>
        <v>惠赠和礼物</v>
      </c>
    </row>
    <row r="15" spans="2:17" ht="21" customHeight="1" x14ac:dyDescent="0.5">
      <c r="B15" s="17" t="s">
        <v>84</v>
      </c>
      <c r="C15" s="18">
        <v>6</v>
      </c>
      <c r="D15" s="34">
        <v>0.04</v>
      </c>
      <c r="E15" s="18">
        <v>600</v>
      </c>
      <c r="F15" s="35">
        <f>TBL_Summary[[#This Row],[利率]]*TBL_Summary[[#This Row],[估计费用]]/12 * 10000</f>
        <v>200</v>
      </c>
      <c r="G15" s="29">
        <f>TBL_Summary[[#This Row],[估计费用]]/SUM(TBL_Summary[估计费用])</f>
        <v>1.9993335554815059E-2</v>
      </c>
      <c r="K15" s="19" t="s">
        <v>13</v>
      </c>
      <c r="L15" s="18">
        <f>TBL_Ceremony[[#Totals],[估计费用]]</f>
        <v>800</v>
      </c>
      <c r="M15" s="18">
        <f>TBL_Ceremony[[#Totals],[实际费用]]</f>
        <v>0</v>
      </c>
      <c r="N15" s="18">
        <f t="shared" si="0"/>
        <v>799.93</v>
      </c>
      <c r="O15" s="18">
        <f>_xlfn.RANK.AVG(N15,$N$7:$N$23)</f>
        <v>7</v>
      </c>
      <c r="P15" s="18">
        <v>7</v>
      </c>
      <c r="Q15" s="19" t="str">
        <f>INDEX(TBL_RankingData,MATCH(P15,$O$7:$O$23,0),1)</f>
        <v>典礼</v>
      </c>
    </row>
    <row r="16" spans="2:17" ht="21" customHeight="1" x14ac:dyDescent="0.5">
      <c r="B16" s="17" t="s">
        <v>75</v>
      </c>
      <c r="C16" s="18">
        <v>33</v>
      </c>
      <c r="D16" s="34">
        <v>4.8000000000000001E-2</v>
      </c>
      <c r="E16" s="18">
        <v>1280</v>
      </c>
      <c r="F16" s="35">
        <f>TBL_Summary[[#This Row],[利率]]*TBL_Summary[[#This Row],[估计费用]]/12 * 10000</f>
        <v>1320</v>
      </c>
      <c r="G16" s="29">
        <f>TBL_Summary[[#This Row],[估计费用]]/SUM(TBL_Summary[估计费用])</f>
        <v>0.10996334555148284</v>
      </c>
      <c r="K16" s="19" t="s">
        <v>14</v>
      </c>
      <c r="L16" s="18">
        <f>TBL_Stationery[[#Totals],[估计费用]]</f>
        <v>500</v>
      </c>
      <c r="M16" s="18">
        <f>TBL_Stationery[[#Totals],[实际费用]]</f>
        <v>0</v>
      </c>
      <c r="N16" s="18">
        <f t="shared" si="0"/>
        <v>499.92</v>
      </c>
      <c r="O16" s="18">
        <f>_xlfn.RANK.AVG(N16,$N$7:$N$23)</f>
        <v>10</v>
      </c>
      <c r="P16" s="18">
        <v>8</v>
      </c>
      <c r="Q16" s="19" t="e">
        <f>INDEX(TBL_RankingData,MATCH(P16,$O$7:$O$23,0),1)</f>
        <v>#N/A</v>
      </c>
    </row>
    <row r="17" spans="2:17" ht="21" customHeight="1" x14ac:dyDescent="0.5">
      <c r="B17" s="17" t="s">
        <v>76</v>
      </c>
      <c r="C17" s="18">
        <v>1.5</v>
      </c>
      <c r="D17" s="34">
        <v>0.02</v>
      </c>
      <c r="E17" s="18">
        <v>0</v>
      </c>
      <c r="F17" s="35">
        <f>TBL_Summary[[#This Row],[利率]]*TBL_Summary[[#This Row],[估计费用]]/12 * 10000</f>
        <v>25</v>
      </c>
      <c r="G17" s="29">
        <f>TBL_Summary[[#This Row],[估计费用]]/SUM(TBL_Summary[估计费用])</f>
        <v>4.9983338887037649E-3</v>
      </c>
      <c r="K17" s="19" t="s">
        <v>15</v>
      </c>
      <c r="L17" s="18">
        <f>TBL_WeddingRings[[#Totals],[估计费用]]</f>
        <v>600</v>
      </c>
      <c r="M17" s="18">
        <f>TBL_WeddingRings[[#Totals],[实际费用]]</f>
        <v>0</v>
      </c>
      <c r="N17" s="18">
        <f t="shared" ref="N17" si="1">L17-P17/100</f>
        <v>599.91</v>
      </c>
      <c r="O17" s="18">
        <f>_xlfn.RANK.AVG(N17,$N$7:$N$23)</f>
        <v>8.5</v>
      </c>
      <c r="P17" s="18">
        <v>9</v>
      </c>
      <c r="Q17" s="19" t="e">
        <f>INDEX(TBL_RankingData,MATCH(P17,$O$7:$O$23,0),1)</f>
        <v>#N/A</v>
      </c>
    </row>
    <row r="18" spans="2:17" ht="21" customHeight="1" x14ac:dyDescent="0.5">
      <c r="B18" s="17" t="s">
        <v>77</v>
      </c>
      <c r="C18" s="18">
        <v>14</v>
      </c>
      <c r="D18" s="34">
        <v>0</v>
      </c>
      <c r="E18" s="18">
        <v>0</v>
      </c>
      <c r="F18" s="35">
        <f>TBL_Summary[[#This Row],[利率]]*TBL_Summary[[#This Row],[估计费用]]/12 * 10000</f>
        <v>0</v>
      </c>
      <c r="G18" s="29">
        <f>TBL_Summary[[#This Row],[估计费用]]/SUM(TBL_Summary[估计费用])</f>
        <v>4.6651116294568473E-2</v>
      </c>
      <c r="L18" s="18"/>
      <c r="M18" s="18"/>
    </row>
    <row r="19" spans="2:17" ht="21" customHeight="1" x14ac:dyDescent="0.5">
      <c r="B19" s="17" t="s">
        <v>78</v>
      </c>
      <c r="C19" s="18">
        <v>3</v>
      </c>
      <c r="D19" s="34">
        <v>-5.5E-2</v>
      </c>
      <c r="E19" s="18">
        <v>-200</v>
      </c>
      <c r="F19" s="35">
        <f>TBL_Summary[[#This Row],[利率]]*TBL_Summary[[#This Row],[估计费用]]/12 * 10000</f>
        <v>-137.5</v>
      </c>
      <c r="G19" s="29">
        <f>TBL_Summary[[#This Row],[估计费用]]/SUM(TBL_Summary[估计费用])</f>
        <v>9.9966677774075297E-3</v>
      </c>
      <c r="L19" s="18"/>
      <c r="M19" s="18"/>
    </row>
    <row r="20" spans="2:17" ht="21" customHeight="1" x14ac:dyDescent="0.5">
      <c r="B20" s="17" t="s">
        <v>79</v>
      </c>
      <c r="C20" s="18">
        <v>4</v>
      </c>
      <c r="D20" s="34">
        <v>-0.2</v>
      </c>
      <c r="E20" s="18">
        <v>-1000</v>
      </c>
      <c r="F20" s="35">
        <f>TBL_Summary[[#This Row],[利率]]*TBL_Summary[[#This Row],[估计费用]]/12 * 10000</f>
        <v>-666.66666666666663</v>
      </c>
      <c r="G20" s="29">
        <f>TBL_Summary[[#This Row],[估计费用]]/SUM(TBL_Summary[估计费用])</f>
        <v>1.3328890369876707E-2</v>
      </c>
      <c r="L20" s="18"/>
      <c r="M20" s="18"/>
    </row>
    <row r="21" spans="2:17" ht="21" customHeight="1" x14ac:dyDescent="0.5">
      <c r="B21" s="17" t="s">
        <v>80</v>
      </c>
      <c r="C21" s="18">
        <v>0.6</v>
      </c>
      <c r="D21" s="34">
        <v>0</v>
      </c>
      <c r="E21" s="18">
        <v>0</v>
      </c>
      <c r="F21" s="35">
        <f>TBL_Summary[[#This Row],[利率]]*TBL_Summary[[#This Row],[估计费用]]/12 * 10000</f>
        <v>0</v>
      </c>
      <c r="G21" s="29">
        <f>TBL_Summary[[#This Row],[估计费用]]/SUM(TBL_Summary[估计费用])</f>
        <v>1.9993335554815061E-3</v>
      </c>
      <c r="L21" s="18"/>
      <c r="M21" s="18"/>
    </row>
    <row r="22" spans="2:17" ht="21" customHeight="1" x14ac:dyDescent="0.5">
      <c r="B22" s="17" t="s">
        <v>85</v>
      </c>
      <c r="C22" s="18">
        <v>5</v>
      </c>
      <c r="D22" s="34">
        <v>4.4999999999999998E-2</v>
      </c>
      <c r="E22" s="18">
        <v>500</v>
      </c>
      <c r="F22" s="35">
        <f>TBL_Summary[[#This Row],[利率]]*TBL_Summary[[#This Row],[估计费用]]/12 * 10000</f>
        <v>187.5</v>
      </c>
      <c r="G22" s="29">
        <f>TBL_Summary[[#This Row],[估计费用]]/SUM(TBL_Summary[估计费用])</f>
        <v>1.6661112962345882E-2</v>
      </c>
      <c r="K22" s="19" t="s">
        <v>15</v>
      </c>
      <c r="L22" s="18">
        <f>TBL_WeddingRings[[#Totals],[估计费用]]</f>
        <v>600</v>
      </c>
      <c r="M22" s="18">
        <f>TBL_WeddingRings[[#Totals],[实际费用]]</f>
        <v>0</v>
      </c>
      <c r="N22" s="18">
        <f t="shared" si="0"/>
        <v>599.91</v>
      </c>
      <c r="O22" s="18">
        <f>_xlfn.RANK.AVG(N22,$N$7:$N$23)</f>
        <v>8.5</v>
      </c>
      <c r="P22" s="18">
        <v>9</v>
      </c>
      <c r="Q22" s="19" t="e">
        <f>INDEX(TBL_RankingData,MATCH(P22,$O$7:$O$23,0),1)</f>
        <v>#N/A</v>
      </c>
    </row>
    <row r="23" spans="2:17" ht="21" customHeight="1" x14ac:dyDescent="0.5">
      <c r="D23" s="34"/>
      <c r="F23" s="35">
        <f>TBL_Summary[[#This Row],[利率]]*TBL_Summary[[#This Row],[估计费用]]/12 * 10000</f>
        <v>0</v>
      </c>
      <c r="G23" s="29">
        <f>TBL_Summary[[#This Row],[估计费用]]/SUM(TBL_Summary[估计费用])</f>
        <v>0</v>
      </c>
      <c r="K23" s="19" t="s">
        <v>16</v>
      </c>
      <c r="L23" s="18">
        <f>TBL_Transportation[[#Totals],[估计费用]]</f>
        <v>450</v>
      </c>
      <c r="M23" s="18">
        <f>TBL_Transportation[[#Totals],[实际费用]]</f>
        <v>0</v>
      </c>
      <c r="N23" s="18">
        <f t="shared" si="0"/>
        <v>449.9</v>
      </c>
      <c r="O23" s="18">
        <f>_xlfn.RANK.AVG(N23,$N$7:$N$23)</f>
        <v>11</v>
      </c>
      <c r="P23" s="18">
        <v>10</v>
      </c>
      <c r="Q23" s="19" t="str">
        <f>INDEX(TBL_RankingData,MATCH(P23,$O$7:$O$23,0),1)</f>
        <v>纸品</v>
      </c>
    </row>
    <row r="24" spans="2:17" ht="21" customHeight="1" x14ac:dyDescent="0.5">
      <c r="B24" s="30" t="s">
        <v>65</v>
      </c>
      <c r="C24" s="36">
        <f>SUBTOTAL(109,TBL_Summary[估计费用])</f>
        <v>300.10000000000002</v>
      </c>
      <c r="D24" s="31">
        <f>SUBTOTAL(109,TBL_Summary[利率])</f>
        <v>0.23499999999999993</v>
      </c>
      <c r="E24" s="31">
        <f>SUM(E7:E23)</f>
        <v>7801</v>
      </c>
      <c r="F24" s="31">
        <f>SUM(F7:F23)</f>
        <v>9259.5833333333339</v>
      </c>
      <c r="G24" s="32">
        <f>SUBTOTAL(109,TBL_Summary[预算百分比])</f>
        <v>0.99999999999999989</v>
      </c>
    </row>
    <row r="26" spans="2:17" ht="21" customHeight="1" x14ac:dyDescent="0.5">
      <c r="B26" s="18"/>
    </row>
    <row r="27" spans="2:17" ht="21" customHeight="1" x14ac:dyDescent="0.5">
      <c r="B27" s="18"/>
    </row>
    <row r="28" spans="2:17" ht="21" customHeight="1" x14ac:dyDescent="0.5">
      <c r="B28" s="18"/>
    </row>
    <row r="29" spans="2:17" ht="21" customHeight="1" x14ac:dyDescent="0.5">
      <c r="B29" s="18"/>
    </row>
    <row r="30" spans="2:17" ht="21" customHeight="1" x14ac:dyDescent="0.5">
      <c r="B30" s="18"/>
    </row>
    <row r="31" spans="2:17" ht="21" customHeight="1" x14ac:dyDescent="0.5">
      <c r="B31" s="18"/>
    </row>
  </sheetData>
  <phoneticPr fontId="34" type="noConversion"/>
  <dataValidations count="6">
    <dataValidation allowBlank="1" showInputMessage="1" showErrorMessage="1" promptTitle="婚礼预算表" prompt="_x000a_使用此模板制定你的婚礼预算。_x000a__x000a_在“预算详细信息”选项卡中，输入每项支出类别的详细信息。_x000a__x000a_单元格 B6 中的汇总表和单元格 B4 中的图表自动更新。_x000a_" sqref="A1" xr:uid="{00000000-0002-0000-0000-000000000000}"/>
    <dataValidation allowBlank="1" showInputMessage="1" showErrorMessage="1" prompt="你的婚礼预算在此表中自动汇总。_x000a__x000a_支出类别根据预估总费用按降序顺序自动排序。_x000a__x000a_" sqref="B6" xr:uid="{00000000-0002-0000-0000-000001000000}"/>
    <dataValidation allowBlank="1" showInputMessage="1" showErrorMessage="1" prompt="自动计算预估费用。_x000a__x000a_从“预算详细信息”选项卡中读取数据。" sqref="C6" xr:uid="{00000000-0002-0000-0000-000002000000}"/>
    <dataValidation allowBlank="1" showInputMessage="1" showErrorMessage="1" prompt="自动计算实际费用。_x000a__x000a_从“预算详细信息”选项卡中读取数据。" sqref="D6:E6" xr:uid="{00000000-0002-0000-0000-000003000000}"/>
    <dataValidation allowBlank="1" showInputMessage="1" showErrorMessage="1" prompt="自动计算差额。_x000a__x000a_这将显示预估费用与实际费用之间的差额。" sqref="F6" xr:uid="{00000000-0002-0000-0000-000004000000}"/>
    <dataValidation allowBlank="1" showInputMessage="1" showErrorMessage="1" prompt="自动计算预算百分比。_x000a__x000a_这将根据预估总费用显示细目。" sqref="G6" xr:uid="{00000000-0002-0000-0000-000005000000}"/>
  </dataValidations>
  <printOptions horizontalCentered="1"/>
  <pageMargins left="0.25" right="0.25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665"/>
  <sheetViews>
    <sheetView showGridLines="0" zoomScaleNormal="100" workbookViewId="0"/>
  </sheetViews>
  <sheetFormatPr defaultColWidth="9.1328125" defaultRowHeight="21" customHeight="1" x14ac:dyDescent="0.5"/>
  <cols>
    <col min="1" max="1" width="1.6640625" style="18" customWidth="1"/>
    <col min="2" max="2" width="42.1328125" style="2" customWidth="1"/>
    <col min="3" max="3" width="15.6640625" style="4" customWidth="1"/>
    <col min="4" max="5" width="14.6640625" style="4" customWidth="1"/>
    <col min="6" max="6" width="1.6640625" style="1" customWidth="1"/>
    <col min="7" max="52" width="9.1328125" style="18"/>
    <col min="53" max="16384" width="9.1328125" style="1"/>
  </cols>
  <sheetData>
    <row r="1" spans="1:52" ht="9" customHeight="1" x14ac:dyDescent="0.5">
      <c r="B1" s="5"/>
      <c r="C1" s="8"/>
      <c r="D1" s="8"/>
      <c r="E1" s="8"/>
      <c r="F1" s="9" t="s">
        <v>5</v>
      </c>
    </row>
    <row r="2" spans="1:52" s="3" customFormat="1" ht="38.6" x14ac:dyDescent="0.5">
      <c r="A2" s="24"/>
      <c r="B2" s="10" t="s">
        <v>21</v>
      </c>
      <c r="C2" s="11"/>
      <c r="D2" s="11"/>
      <c r="E2" s="11"/>
      <c r="F2" s="7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</row>
    <row r="3" spans="1:52" ht="21" customHeight="1" x14ac:dyDescent="0.5">
      <c r="B3" s="5"/>
      <c r="C3" s="8"/>
      <c r="D3" s="8"/>
      <c r="E3" s="8"/>
      <c r="F3" s="6"/>
    </row>
    <row r="4" spans="1:52" ht="21" customHeight="1" x14ac:dyDescent="0.5">
      <c r="B4" s="12" t="s">
        <v>7</v>
      </c>
      <c r="C4" s="13" t="s">
        <v>1</v>
      </c>
      <c r="D4" s="13" t="s">
        <v>2</v>
      </c>
      <c r="E4" s="13" t="s">
        <v>3</v>
      </c>
      <c r="F4" s="6"/>
    </row>
    <row r="5" spans="1:52" ht="21" customHeight="1" x14ac:dyDescent="0.5">
      <c r="B5" s="5" t="s">
        <v>22</v>
      </c>
      <c r="C5" s="8">
        <v>8000</v>
      </c>
      <c r="D5" s="8">
        <v>7800</v>
      </c>
      <c r="E5" s="8">
        <f>IF(OR(TBL_Reception[[#This Row],[估计费用]]="",TBL_Reception[[#This Row],[实际费用]]=""),"",TBL_Reception[[#This Row],[估计费用]]-TBL_Reception[[#This Row],[实际费用]])</f>
        <v>200</v>
      </c>
      <c r="F5" s="6"/>
    </row>
    <row r="6" spans="1:52" ht="21" customHeight="1" x14ac:dyDescent="0.5">
      <c r="B6" s="5" t="s">
        <v>23</v>
      </c>
      <c r="C6" s="8">
        <v>4000</v>
      </c>
      <c r="D6" s="8">
        <v>4200</v>
      </c>
      <c r="E6" s="8">
        <f>IF(OR(TBL_Reception[[#This Row],[估计费用]]="",TBL_Reception[[#This Row],[实际费用]]=""),"",TBL_Reception[[#This Row],[估计费用]]-TBL_Reception[[#This Row],[实际费用]])</f>
        <v>-200</v>
      </c>
      <c r="F6" s="6"/>
    </row>
    <row r="7" spans="1:52" ht="21" customHeight="1" x14ac:dyDescent="0.5">
      <c r="B7" s="5" t="s">
        <v>24</v>
      </c>
      <c r="C7" s="8">
        <v>1000</v>
      </c>
      <c r="D7" s="8">
        <v>800</v>
      </c>
      <c r="E7" s="8">
        <f>IF(OR(TBL_Reception[[#This Row],[估计费用]]="",TBL_Reception[[#This Row],[实际费用]]=""),"",TBL_Reception[[#This Row],[估计费用]]-TBL_Reception[[#This Row],[实际费用]])</f>
        <v>200</v>
      </c>
      <c r="F7" s="6"/>
    </row>
    <row r="8" spans="1:52" ht="21" customHeight="1" x14ac:dyDescent="0.5">
      <c r="B8" s="5" t="s">
        <v>25</v>
      </c>
      <c r="C8" s="8">
        <v>1000</v>
      </c>
      <c r="D8" s="8"/>
      <c r="E8" s="8" t="str">
        <f>IF(OR(TBL_Reception[[#This Row],[估计费用]]="",TBL_Reception[[#This Row],[实际费用]]=""),"",TBL_Reception[[#This Row],[估计费用]]-TBL_Reception[[#This Row],[实际费用]])</f>
        <v/>
      </c>
      <c r="F8" s="6"/>
    </row>
    <row r="9" spans="1:52" ht="21" customHeight="1" x14ac:dyDescent="0.5">
      <c r="B9" s="5" t="s">
        <v>26</v>
      </c>
      <c r="C9" s="8">
        <v>500</v>
      </c>
      <c r="D9" s="8"/>
      <c r="E9" s="8" t="str">
        <f>IF(OR(TBL_Reception[[#This Row],[估计费用]]="",TBL_Reception[[#This Row],[实际费用]]=""),"",TBL_Reception[[#This Row],[估计费用]]-TBL_Reception[[#This Row],[实际费用]])</f>
        <v/>
      </c>
      <c r="F9" s="6"/>
    </row>
    <row r="10" spans="1:52" ht="21" customHeight="1" x14ac:dyDescent="0.5">
      <c r="B10" s="14" t="s">
        <v>66</v>
      </c>
      <c r="C10" s="15">
        <f>SUBTOTAL(109,TBL_Reception[估计费用])</f>
        <v>14500</v>
      </c>
      <c r="D10" s="15">
        <f>SUBTOTAL(109,TBL_Reception[实际费用])</f>
        <v>12800</v>
      </c>
      <c r="E10" s="15">
        <f>TBL_Reception[[#Totals],[估计费用]]-TBL_Reception[[#Totals],[实际费用]]</f>
        <v>1700</v>
      </c>
      <c r="F10" s="6"/>
    </row>
    <row r="11" spans="1:52" ht="21" customHeight="1" x14ac:dyDescent="0.5">
      <c r="B11" s="5"/>
      <c r="C11" s="8"/>
      <c r="D11" s="8"/>
      <c r="E11" s="8"/>
      <c r="F11" s="6"/>
    </row>
    <row r="12" spans="1:52" ht="21" customHeight="1" x14ac:dyDescent="0.5">
      <c r="B12" s="12" t="s">
        <v>27</v>
      </c>
      <c r="C12" s="13" t="s">
        <v>1</v>
      </c>
      <c r="D12" s="13" t="s">
        <v>2</v>
      </c>
      <c r="E12" s="13" t="s">
        <v>3</v>
      </c>
      <c r="F12" s="6"/>
    </row>
    <row r="13" spans="1:52" ht="21" customHeight="1" x14ac:dyDescent="0.5">
      <c r="B13" s="5" t="s">
        <v>28</v>
      </c>
      <c r="C13" s="8">
        <v>3000</v>
      </c>
      <c r="D13" s="8">
        <v>2900</v>
      </c>
      <c r="E13" s="8">
        <f>IF(OR(TBL_Attire[[#This Row],[估计费用]]="",TBL_Attire[[#This Row],[实际费用]]=""),"",TBL_Attire[[#This Row],[估计费用]]-TBL_Attire[[#This Row],[实际费用]])</f>
        <v>100</v>
      </c>
      <c r="F13" s="6"/>
    </row>
    <row r="14" spans="1:52" ht="21" customHeight="1" x14ac:dyDescent="0.5">
      <c r="B14" s="5" t="s">
        <v>29</v>
      </c>
      <c r="C14" s="8">
        <v>100</v>
      </c>
      <c r="D14" s="8"/>
      <c r="E14" s="8" t="str">
        <f>IF(OR(TBL_Attire[[#This Row],[估计费用]]="",TBL_Attire[[#This Row],[实际费用]]=""),"",TBL_Attire[[#This Row],[估计费用]]-TBL_Attire[[#This Row],[实际费用]])</f>
        <v/>
      </c>
      <c r="F14" s="6"/>
    </row>
    <row r="15" spans="1:52" ht="21" customHeight="1" x14ac:dyDescent="0.5">
      <c r="B15" s="5" t="s">
        <v>30</v>
      </c>
      <c r="C15" s="8">
        <v>200</v>
      </c>
      <c r="D15" s="8"/>
      <c r="E15" s="8" t="str">
        <f>IF(OR(TBL_Attire[[#This Row],[估计费用]]="",TBL_Attire[[#This Row],[实际费用]]=""),"",TBL_Attire[[#This Row],[估计费用]]-TBL_Attire[[#This Row],[实际费用]])</f>
        <v/>
      </c>
      <c r="F15" s="6"/>
    </row>
    <row r="16" spans="1:52" ht="21" customHeight="1" x14ac:dyDescent="0.5">
      <c r="B16" s="5" t="s">
        <v>31</v>
      </c>
      <c r="C16" s="8">
        <v>100</v>
      </c>
      <c r="D16" s="8"/>
      <c r="E16" s="8" t="str">
        <f>IF(OR(TBL_Attire[[#This Row],[估计费用]]="",TBL_Attire[[#This Row],[实际费用]]=""),"",TBL_Attire[[#This Row],[估计费用]]-TBL_Attire[[#This Row],[实际费用]])</f>
        <v/>
      </c>
      <c r="F16" s="6"/>
    </row>
    <row r="17" spans="2:6" ht="21" customHeight="1" x14ac:dyDescent="0.5">
      <c r="B17" s="5" t="s">
        <v>32</v>
      </c>
      <c r="C17" s="8">
        <v>500</v>
      </c>
      <c r="D17" s="8"/>
      <c r="E17" s="8" t="str">
        <f>IF(OR(TBL_Attire[[#This Row],[估计费用]]="",TBL_Attire[[#This Row],[实际费用]]=""),"",TBL_Attire[[#This Row],[估计费用]]-TBL_Attire[[#This Row],[实际费用]])</f>
        <v/>
      </c>
      <c r="F17" s="6"/>
    </row>
    <row r="18" spans="2:6" ht="21" customHeight="1" x14ac:dyDescent="0.5">
      <c r="B18" s="5" t="s">
        <v>26</v>
      </c>
      <c r="C18" s="8">
        <v>100</v>
      </c>
      <c r="D18" s="8"/>
      <c r="E18" s="8" t="str">
        <f>IF(OR(TBL_Attire[[#This Row],[估计费用]]="",TBL_Attire[[#This Row],[实际费用]]=""),"",TBL_Attire[[#This Row],[估计费用]]-TBL_Attire[[#This Row],[实际费用]])</f>
        <v/>
      </c>
      <c r="F18" s="6"/>
    </row>
    <row r="19" spans="2:6" ht="21" customHeight="1" x14ac:dyDescent="0.5">
      <c r="B19" s="14" t="s">
        <v>66</v>
      </c>
      <c r="C19" s="15">
        <f>SUBTOTAL(109,TBL_Attire[估计费用])</f>
        <v>4000</v>
      </c>
      <c r="D19" s="15">
        <f>SUBTOTAL(109,TBL_Attire[实际费用])</f>
        <v>2900</v>
      </c>
      <c r="E19" s="15">
        <f>TBL_Attire[[#Totals],[估计费用]]-TBL_Attire[[#Totals],[实际费用]]</f>
        <v>1100</v>
      </c>
      <c r="F19" s="6"/>
    </row>
    <row r="20" spans="2:6" ht="21" customHeight="1" x14ac:dyDescent="0.5">
      <c r="B20" s="5"/>
      <c r="C20" s="8"/>
      <c r="D20" s="8"/>
      <c r="E20" s="8"/>
      <c r="F20" s="6"/>
    </row>
    <row r="21" spans="2:6" ht="21" customHeight="1" x14ac:dyDescent="0.5">
      <c r="B21" s="12" t="s">
        <v>9</v>
      </c>
      <c r="C21" s="13" t="s">
        <v>1</v>
      </c>
      <c r="D21" s="13" t="s">
        <v>2</v>
      </c>
      <c r="E21" s="13" t="s">
        <v>3</v>
      </c>
      <c r="F21" s="6"/>
    </row>
    <row r="22" spans="2:6" ht="21" customHeight="1" x14ac:dyDescent="0.5">
      <c r="B22" s="5" t="s">
        <v>33</v>
      </c>
      <c r="C22" s="8">
        <v>1000</v>
      </c>
      <c r="D22" s="8"/>
      <c r="E22" s="8" t="str">
        <f>IF(OR(TBL_FlowersAndDecor[[#This Row],[估计费用]]="",TBL_FlowersAndDecor[[#This Row],[实际费用]]=""),"",TBL_FlowersAndDecor[[#This Row],[估计费用]]-TBL_FlowersAndDecor[[#This Row],[实际费用]])</f>
        <v/>
      </c>
      <c r="F22" s="6"/>
    </row>
    <row r="23" spans="2:6" ht="21" customHeight="1" x14ac:dyDescent="0.5">
      <c r="B23" s="5" t="s">
        <v>34</v>
      </c>
      <c r="C23" s="8">
        <v>500</v>
      </c>
      <c r="D23" s="8"/>
      <c r="E23" s="8" t="str">
        <f>IF(OR(TBL_FlowersAndDecor[[#This Row],[估计费用]]="",TBL_FlowersAndDecor[[#This Row],[实际费用]]=""),"",TBL_FlowersAndDecor[[#This Row],[估计费用]]-TBL_FlowersAndDecor[[#This Row],[实际费用]])</f>
        <v/>
      </c>
      <c r="F23" s="6"/>
    </row>
    <row r="24" spans="2:6" ht="21" customHeight="1" x14ac:dyDescent="0.5">
      <c r="B24" s="5" t="s">
        <v>35</v>
      </c>
      <c r="C24" s="8">
        <v>100</v>
      </c>
      <c r="D24" s="8"/>
      <c r="E24" s="8" t="str">
        <f>IF(OR(TBL_FlowersAndDecor[[#This Row],[估计费用]]="",TBL_FlowersAndDecor[[#This Row],[实际费用]]=""),"",TBL_FlowersAndDecor[[#This Row],[估计费用]]-TBL_FlowersAndDecor[[#This Row],[实际费用]])</f>
        <v/>
      </c>
      <c r="F24" s="6"/>
    </row>
    <row r="25" spans="2:6" ht="21" customHeight="1" x14ac:dyDescent="0.5">
      <c r="B25" s="5" t="s">
        <v>36</v>
      </c>
      <c r="C25" s="8">
        <v>500</v>
      </c>
      <c r="D25" s="8"/>
      <c r="E25" s="8" t="str">
        <f>IF(OR(TBL_FlowersAndDecor[[#This Row],[估计费用]]="",TBL_FlowersAndDecor[[#This Row],[实际费用]]=""),"",TBL_FlowersAndDecor[[#This Row],[估计费用]]-TBL_FlowersAndDecor[[#This Row],[实际费用]])</f>
        <v/>
      </c>
      <c r="F25" s="6"/>
    </row>
    <row r="26" spans="2:6" ht="21" customHeight="1" x14ac:dyDescent="0.5">
      <c r="B26" s="5" t="s">
        <v>37</v>
      </c>
      <c r="C26" s="8">
        <v>100</v>
      </c>
      <c r="D26" s="8"/>
      <c r="E26" s="8" t="str">
        <f>IF(OR(TBL_FlowersAndDecor[[#This Row],[估计费用]]="",TBL_FlowersAndDecor[[#This Row],[实际费用]]=""),"",TBL_FlowersAndDecor[[#This Row],[估计费用]]-TBL_FlowersAndDecor[[#This Row],[实际费用]])</f>
        <v/>
      </c>
      <c r="F26" s="6"/>
    </row>
    <row r="27" spans="2:6" ht="21" customHeight="1" x14ac:dyDescent="0.5">
      <c r="B27" s="5" t="s">
        <v>38</v>
      </c>
      <c r="C27" s="8">
        <v>200</v>
      </c>
      <c r="D27" s="8"/>
      <c r="E27" s="8" t="str">
        <f>IF(OR(TBL_FlowersAndDecor[[#This Row],[估计费用]]="",TBL_FlowersAndDecor[[#This Row],[实际费用]]=""),"",TBL_FlowersAndDecor[[#This Row],[估计费用]]-TBL_FlowersAndDecor[[#This Row],[实际费用]])</f>
        <v/>
      </c>
      <c r="F27" s="6"/>
    </row>
    <row r="28" spans="2:6" ht="21" customHeight="1" x14ac:dyDescent="0.5">
      <c r="B28" s="5" t="s">
        <v>39</v>
      </c>
      <c r="C28" s="8">
        <v>300</v>
      </c>
      <c r="D28" s="8"/>
      <c r="E28" s="8" t="str">
        <f>IF(OR(TBL_FlowersAndDecor[[#This Row],[估计费用]]="",TBL_FlowersAndDecor[[#This Row],[实际费用]]=""),"",TBL_FlowersAndDecor[[#This Row],[估计费用]]-TBL_FlowersAndDecor[[#This Row],[实际费用]])</f>
        <v/>
      </c>
      <c r="F28" s="6"/>
    </row>
    <row r="29" spans="2:6" ht="21" customHeight="1" x14ac:dyDescent="0.5">
      <c r="B29" s="5" t="s">
        <v>40</v>
      </c>
      <c r="C29" s="8">
        <v>200</v>
      </c>
      <c r="D29" s="8"/>
      <c r="E29" s="8" t="str">
        <f>IF(OR(TBL_FlowersAndDecor[[#This Row],[估计费用]]="",TBL_FlowersAndDecor[[#This Row],[实际费用]]=""),"",TBL_FlowersAndDecor[[#This Row],[估计费用]]-TBL_FlowersAndDecor[[#This Row],[实际费用]])</f>
        <v/>
      </c>
      <c r="F29" s="6"/>
    </row>
    <row r="30" spans="2:6" ht="21" customHeight="1" x14ac:dyDescent="0.5">
      <c r="B30" s="5" t="s">
        <v>26</v>
      </c>
      <c r="C30" s="8">
        <v>100</v>
      </c>
      <c r="D30" s="8"/>
      <c r="E30" s="8" t="str">
        <f>IF(OR(TBL_FlowersAndDecor[[#This Row],[估计费用]]="",TBL_FlowersAndDecor[[#This Row],[实际费用]]=""),"",TBL_FlowersAndDecor[[#This Row],[估计费用]]-TBL_FlowersAndDecor[[#This Row],[实际费用]])</f>
        <v/>
      </c>
      <c r="F30" s="6"/>
    </row>
    <row r="31" spans="2:6" ht="21" customHeight="1" x14ac:dyDescent="0.5">
      <c r="B31" s="14" t="s">
        <v>66</v>
      </c>
      <c r="C31" s="16">
        <f>SUBTOTAL(109,TBL_FlowersAndDecor[估计费用])</f>
        <v>3000</v>
      </c>
      <c r="D31" s="16">
        <f>SUBTOTAL(109,TBL_FlowersAndDecor[实际费用])</f>
        <v>0</v>
      </c>
      <c r="E31" s="16">
        <f>TBL_FlowersAndDecor[[#Totals],[估计费用]]-TBL_FlowersAndDecor[[#Totals],[实际费用]]</f>
        <v>3000</v>
      </c>
      <c r="F31" s="6"/>
    </row>
    <row r="32" spans="2:6" ht="21" customHeight="1" x14ac:dyDescent="0.5">
      <c r="B32" s="5"/>
      <c r="C32" s="8"/>
      <c r="D32" s="8"/>
      <c r="E32" s="8"/>
      <c r="F32" s="6"/>
    </row>
    <row r="33" spans="2:6" ht="21" customHeight="1" x14ac:dyDescent="0.5">
      <c r="B33" s="12" t="s">
        <v>10</v>
      </c>
      <c r="C33" s="13" t="s">
        <v>1</v>
      </c>
      <c r="D33" s="13" t="s">
        <v>2</v>
      </c>
      <c r="E33" s="13" t="s">
        <v>3</v>
      </c>
      <c r="F33" s="6"/>
    </row>
    <row r="34" spans="2:6" ht="21" customHeight="1" x14ac:dyDescent="0.5">
      <c r="B34" s="5" t="s">
        <v>41</v>
      </c>
      <c r="C34" s="8">
        <v>700</v>
      </c>
      <c r="D34" s="8"/>
      <c r="E34" s="8" t="str">
        <f>IF(OR(TBL_Music[[#This Row],[估计费用]]="",TBL_Music[[#This Row],[实际费用]]=""),"",TBL_Music[[#This Row],[估计费用]]-TBL_Music[[#This Row],[实际费用]])</f>
        <v/>
      </c>
      <c r="F34" s="6"/>
    </row>
    <row r="35" spans="2:6" ht="21" customHeight="1" x14ac:dyDescent="0.5">
      <c r="B35" s="5" t="s">
        <v>42</v>
      </c>
      <c r="C35" s="8">
        <v>300</v>
      </c>
      <c r="D35" s="8"/>
      <c r="E35" s="8" t="str">
        <f>IF(OR(TBL_Music[[#This Row],[估计费用]]="",TBL_Music[[#This Row],[实际费用]]=""),"",TBL_Music[[#This Row],[估计费用]]-TBL_Music[[#This Row],[实际费用]])</f>
        <v/>
      </c>
      <c r="F35" s="6"/>
    </row>
    <row r="36" spans="2:6" ht="21" customHeight="1" x14ac:dyDescent="0.5">
      <c r="B36" s="5" t="s">
        <v>43</v>
      </c>
      <c r="C36" s="8">
        <v>200</v>
      </c>
      <c r="D36" s="8"/>
      <c r="E36" s="8" t="str">
        <f>IF(OR(TBL_Music[[#This Row],[估计费用]]="",TBL_Music[[#This Row],[实际费用]]=""),"",TBL_Music[[#This Row],[估计费用]]-TBL_Music[[#This Row],[实际费用]])</f>
        <v/>
      </c>
      <c r="F36" s="6"/>
    </row>
    <row r="37" spans="2:6" ht="21" customHeight="1" x14ac:dyDescent="0.5">
      <c r="B37" s="5" t="s">
        <v>44</v>
      </c>
      <c r="C37" s="8">
        <v>400</v>
      </c>
      <c r="D37" s="8"/>
      <c r="E37" s="8" t="str">
        <f>IF(OR(TBL_Music[[#This Row],[估计费用]]="",TBL_Music[[#This Row],[实际费用]]=""),"",TBL_Music[[#This Row],[估计费用]]-TBL_Music[[#This Row],[实际费用]])</f>
        <v/>
      </c>
      <c r="F37" s="6"/>
    </row>
    <row r="38" spans="2:6" ht="21" customHeight="1" x14ac:dyDescent="0.5">
      <c r="B38" s="5" t="s">
        <v>26</v>
      </c>
      <c r="C38" s="8">
        <v>200</v>
      </c>
      <c r="D38" s="8"/>
      <c r="E38" s="8" t="str">
        <f>IF(OR(TBL_Music[[#This Row],[估计费用]]="",TBL_Music[[#This Row],[实际费用]]=""),"",TBL_Music[[#This Row],[估计费用]]-TBL_Music[[#This Row],[实际费用]])</f>
        <v/>
      </c>
      <c r="F38" s="6"/>
    </row>
    <row r="39" spans="2:6" ht="21" customHeight="1" x14ac:dyDescent="0.5">
      <c r="B39" s="14" t="s">
        <v>66</v>
      </c>
      <c r="C39" s="16">
        <f>SUBTOTAL(109,TBL_Music[估计费用])</f>
        <v>1800</v>
      </c>
      <c r="D39" s="16">
        <f>SUBTOTAL(109,TBL_Music[实际费用])</f>
        <v>0</v>
      </c>
      <c r="E39" s="16">
        <f>TBL_Music[[#Totals],[估计费用]]-TBL_Music[[#Totals],[实际费用]]</f>
        <v>1800</v>
      </c>
      <c r="F39" s="6"/>
    </row>
    <row r="40" spans="2:6" ht="21" customHeight="1" x14ac:dyDescent="0.5">
      <c r="B40" s="5"/>
      <c r="C40" s="8"/>
      <c r="D40" s="8"/>
      <c r="E40" s="8"/>
      <c r="F40" s="6"/>
    </row>
    <row r="41" spans="2:6" ht="21" customHeight="1" x14ac:dyDescent="0.5">
      <c r="B41" s="12" t="s">
        <v>11</v>
      </c>
      <c r="C41" s="13" t="s">
        <v>1</v>
      </c>
      <c r="D41" s="13" t="s">
        <v>2</v>
      </c>
      <c r="E41" s="13" t="s">
        <v>3</v>
      </c>
      <c r="F41" s="6"/>
    </row>
    <row r="42" spans="2:6" ht="21" customHeight="1" x14ac:dyDescent="0.5">
      <c r="B42" s="5" t="s">
        <v>45</v>
      </c>
      <c r="C42" s="8">
        <v>1000</v>
      </c>
      <c r="D42" s="8"/>
      <c r="E42" s="8" t="str">
        <f>IF(OR(TBL_PhotographsAndVideo[[#This Row],[估计费用]]="",TBL_PhotographsAndVideo[[#This Row],[实际费用]]=""),"",TBL_PhotographsAndVideo[[#This Row],[估计费用]]-TBL_PhotographsAndVideo[[#This Row],[实际费用]])</f>
        <v/>
      </c>
      <c r="F42" s="6"/>
    </row>
    <row r="43" spans="2:6" ht="21" customHeight="1" x14ac:dyDescent="0.5">
      <c r="B43" s="5" t="s">
        <v>46</v>
      </c>
      <c r="C43" s="8">
        <v>800</v>
      </c>
      <c r="D43" s="8"/>
      <c r="E43" s="8" t="str">
        <f>IF(OR(TBL_PhotographsAndVideo[[#This Row],[估计费用]]="",TBL_PhotographsAndVideo[[#This Row],[实际费用]]=""),"",TBL_PhotographsAndVideo[[#This Row],[估计费用]]-TBL_PhotographsAndVideo[[#This Row],[实际费用]])</f>
        <v/>
      </c>
      <c r="F43" s="6"/>
    </row>
    <row r="44" spans="2:6" ht="21" customHeight="1" x14ac:dyDescent="0.5">
      <c r="B44" s="5" t="s">
        <v>47</v>
      </c>
      <c r="C44" s="8">
        <v>500</v>
      </c>
      <c r="D44" s="8"/>
      <c r="E44" s="8" t="str">
        <f>IF(OR(TBL_PhotographsAndVideo[[#This Row],[估计费用]]="",TBL_PhotographsAndVideo[[#This Row],[实际费用]]=""),"",TBL_PhotographsAndVideo[[#This Row],[估计费用]]-TBL_PhotographsAndVideo[[#This Row],[实际费用]])</f>
        <v/>
      </c>
      <c r="F44" s="6"/>
    </row>
    <row r="45" spans="2:6" ht="21" customHeight="1" x14ac:dyDescent="0.5">
      <c r="B45" s="5" t="s">
        <v>26</v>
      </c>
      <c r="C45" s="8">
        <v>200</v>
      </c>
      <c r="D45" s="8"/>
      <c r="E45" s="8" t="str">
        <f>IF(OR(TBL_PhotographsAndVideo[[#This Row],[估计费用]]="",TBL_PhotographsAndVideo[[#This Row],[实际费用]]=""),"",TBL_PhotographsAndVideo[[#This Row],[估计费用]]-TBL_PhotographsAndVideo[[#This Row],[实际费用]])</f>
        <v/>
      </c>
      <c r="F45" s="6"/>
    </row>
    <row r="46" spans="2:6" ht="21" customHeight="1" x14ac:dyDescent="0.5">
      <c r="B46" s="14" t="s">
        <v>66</v>
      </c>
      <c r="C46" s="16">
        <f>SUBTOTAL(109,TBL_PhotographsAndVideo[估计费用])</f>
        <v>2500</v>
      </c>
      <c r="D46" s="16">
        <f>SUBTOTAL(109,TBL_PhotographsAndVideo[实际费用])</f>
        <v>0</v>
      </c>
      <c r="E46" s="16">
        <f>TBL_PhotographsAndVideo[[#Totals],[估计费用]]-TBL_PhotographsAndVideo[[#Totals],[实际费用]]</f>
        <v>2500</v>
      </c>
      <c r="F46" s="6"/>
    </row>
    <row r="47" spans="2:6" ht="21" customHeight="1" x14ac:dyDescent="0.5">
      <c r="B47" s="5"/>
      <c r="C47" s="8"/>
      <c r="D47" s="8"/>
      <c r="E47" s="8"/>
      <c r="F47" s="6"/>
    </row>
    <row r="48" spans="2:6" ht="21" customHeight="1" x14ac:dyDescent="0.5">
      <c r="B48" s="12" t="s">
        <v>48</v>
      </c>
      <c r="C48" s="13" t="s">
        <v>1</v>
      </c>
      <c r="D48" s="13" t="s">
        <v>2</v>
      </c>
      <c r="E48" s="13" t="s">
        <v>3</v>
      </c>
      <c r="F48" s="6"/>
    </row>
    <row r="49" spans="2:6" ht="21" customHeight="1" x14ac:dyDescent="0.5">
      <c r="B49" s="5" t="s">
        <v>49</v>
      </c>
      <c r="C49" s="8">
        <v>700</v>
      </c>
      <c r="D49" s="8"/>
      <c r="E49" s="8" t="str">
        <f>IF(OR(TBL_FavorsAndGifts[[#This Row],[估计费用]]="",TBL_FavorsAndGifts[[#This Row],[实际费用]]=""),"",TBL_FavorsAndGifts[[#This Row],[估计费用]]-TBL_FavorsAndGifts[[#This Row],[实际费用]])</f>
        <v/>
      </c>
      <c r="F49" s="6"/>
    </row>
    <row r="50" spans="2:6" ht="21" customHeight="1" x14ac:dyDescent="0.5">
      <c r="B50" s="5" t="s">
        <v>50</v>
      </c>
      <c r="C50" s="8">
        <v>200</v>
      </c>
      <c r="D50" s="8"/>
      <c r="E50" s="8" t="str">
        <f>IF(OR(TBL_FavorsAndGifts[[#This Row],[估计费用]]="",TBL_FavorsAndGifts[[#This Row],[实际费用]]=""),"",TBL_FavorsAndGifts[[#This Row],[估计费用]]-TBL_FavorsAndGifts[[#This Row],[实际费用]])</f>
        <v/>
      </c>
      <c r="F50" s="6"/>
    </row>
    <row r="51" spans="2:6" ht="21" customHeight="1" x14ac:dyDescent="0.5">
      <c r="B51" s="5" t="s">
        <v>26</v>
      </c>
      <c r="C51" s="8">
        <v>200</v>
      </c>
      <c r="D51" s="8"/>
      <c r="E51" s="8" t="str">
        <f>IF(OR(TBL_FavorsAndGifts[[#This Row],[估计费用]]="",TBL_FavorsAndGifts[[#This Row],[实际费用]]=""),"",TBL_FavorsAndGifts[[#This Row],[估计费用]]-TBL_FavorsAndGifts[[#This Row],[实际费用]])</f>
        <v/>
      </c>
      <c r="F51" s="6"/>
    </row>
    <row r="52" spans="2:6" ht="21" customHeight="1" x14ac:dyDescent="0.5">
      <c r="B52" s="14" t="s">
        <v>66</v>
      </c>
      <c r="C52" s="16">
        <f>SUBTOTAL(109,TBL_FavorsAndGifts[估计费用])</f>
        <v>1100</v>
      </c>
      <c r="D52" s="16">
        <f>SUBTOTAL(109,TBL_FavorsAndGifts[实际费用])</f>
        <v>0</v>
      </c>
      <c r="E52" s="16">
        <f>TBL_FavorsAndGifts[[#Totals],[估计费用]]-TBL_FavorsAndGifts[[#Totals],[实际费用]]</f>
        <v>1100</v>
      </c>
      <c r="F52" s="6"/>
    </row>
    <row r="53" spans="2:6" ht="21" customHeight="1" x14ac:dyDescent="0.5">
      <c r="B53" s="5"/>
      <c r="C53" s="8"/>
      <c r="D53" s="8"/>
      <c r="E53" s="8"/>
      <c r="F53" s="6"/>
    </row>
    <row r="54" spans="2:6" ht="21" customHeight="1" x14ac:dyDescent="0.5">
      <c r="B54" s="12" t="s">
        <v>13</v>
      </c>
      <c r="C54" s="13" t="s">
        <v>1</v>
      </c>
      <c r="D54" s="13" t="s">
        <v>2</v>
      </c>
      <c r="E54" s="13" t="s">
        <v>3</v>
      </c>
      <c r="F54" s="6"/>
    </row>
    <row r="55" spans="2:6" ht="21" customHeight="1" x14ac:dyDescent="0.5">
      <c r="B55" s="5" t="s">
        <v>51</v>
      </c>
      <c r="C55" s="8">
        <v>500</v>
      </c>
      <c r="D55" s="8"/>
      <c r="E55" s="8" t="str">
        <f>IF(OR(TBL_Ceremony[[#This Row],[估计费用]]="",TBL_Ceremony[[#This Row],[实际费用]]=""),"",TBL_Ceremony[[#This Row],[估计费用]]-TBL_Ceremony[[#This Row],[实际费用]])</f>
        <v/>
      </c>
      <c r="F55" s="6"/>
    </row>
    <row r="56" spans="2:6" ht="21" customHeight="1" x14ac:dyDescent="0.5">
      <c r="B56" s="5" t="s">
        <v>52</v>
      </c>
      <c r="C56" s="8">
        <v>200</v>
      </c>
      <c r="D56" s="8"/>
      <c r="E56" s="8" t="str">
        <f>IF(OR(TBL_Ceremony[[#This Row],[估计费用]]="",TBL_Ceremony[[#This Row],[实际费用]]=""),"",TBL_Ceremony[[#This Row],[估计费用]]-TBL_Ceremony[[#This Row],[实际费用]])</f>
        <v/>
      </c>
      <c r="F56" s="6"/>
    </row>
    <row r="57" spans="2:6" ht="21" customHeight="1" x14ac:dyDescent="0.5">
      <c r="B57" s="5" t="s">
        <v>26</v>
      </c>
      <c r="C57" s="8">
        <v>100</v>
      </c>
      <c r="D57" s="8"/>
      <c r="E57" s="8" t="str">
        <f>IF(OR(TBL_Ceremony[[#This Row],[估计费用]]="",TBL_Ceremony[[#This Row],[实际费用]]=""),"",TBL_Ceremony[[#This Row],[估计费用]]-TBL_Ceremony[[#This Row],[实际费用]])</f>
        <v/>
      </c>
      <c r="F57" s="6"/>
    </row>
    <row r="58" spans="2:6" ht="21" customHeight="1" x14ac:dyDescent="0.5">
      <c r="B58" s="14" t="s">
        <v>66</v>
      </c>
      <c r="C58" s="16">
        <f>SUBTOTAL(109,TBL_Ceremony[估计费用])</f>
        <v>800</v>
      </c>
      <c r="D58" s="16">
        <f>SUBTOTAL(109,TBL_Ceremony[实际费用])</f>
        <v>0</v>
      </c>
      <c r="E58" s="16">
        <f>TBL_Ceremony[[#Totals],[估计费用]]-TBL_Ceremony[[#Totals],[实际费用]]</f>
        <v>800</v>
      </c>
      <c r="F58" s="6"/>
    </row>
    <row r="59" spans="2:6" ht="21" customHeight="1" x14ac:dyDescent="0.5">
      <c r="B59" s="5"/>
      <c r="C59" s="8"/>
      <c r="D59" s="8"/>
      <c r="E59" s="8"/>
      <c r="F59" s="6"/>
    </row>
    <row r="60" spans="2:6" ht="21" customHeight="1" x14ac:dyDescent="0.5">
      <c r="B60" s="12" t="s">
        <v>14</v>
      </c>
      <c r="C60" s="13" t="s">
        <v>1</v>
      </c>
      <c r="D60" s="13" t="s">
        <v>2</v>
      </c>
      <c r="E60" s="13" t="s">
        <v>3</v>
      </c>
      <c r="F60" s="6"/>
    </row>
    <row r="61" spans="2:6" ht="21" customHeight="1" x14ac:dyDescent="0.5">
      <c r="B61" s="5" t="s">
        <v>53</v>
      </c>
      <c r="C61" s="8">
        <v>50</v>
      </c>
      <c r="D61" s="8"/>
      <c r="E61" s="8" t="str">
        <f>IF(OR(TBL_Stationery[[#This Row],[估计费用]]="",TBL_Stationery[[#This Row],[实际费用]]=""),"",TBL_Stationery[[#This Row],[估计费用]]-TBL_Stationery[[#This Row],[实际费用]])</f>
        <v/>
      </c>
      <c r="F61" s="6"/>
    </row>
    <row r="62" spans="2:6" ht="21" customHeight="1" x14ac:dyDescent="0.5">
      <c r="B62" s="5" t="s">
        <v>54</v>
      </c>
      <c r="C62" s="8">
        <v>100</v>
      </c>
      <c r="D62" s="8"/>
      <c r="E62" s="8" t="str">
        <f>IF(OR(TBL_Stationery[[#This Row],[估计费用]]="",TBL_Stationery[[#This Row],[实际费用]]=""),"",TBL_Stationery[[#This Row],[估计费用]]-TBL_Stationery[[#This Row],[实际费用]])</f>
        <v/>
      </c>
      <c r="F62" s="6"/>
    </row>
    <row r="63" spans="2:6" ht="21" customHeight="1" x14ac:dyDescent="0.5">
      <c r="B63" s="5" t="s">
        <v>55</v>
      </c>
      <c r="C63" s="8">
        <v>50</v>
      </c>
      <c r="D63" s="8"/>
      <c r="E63" s="8" t="str">
        <f>IF(OR(TBL_Stationery[[#This Row],[估计费用]]="",TBL_Stationery[[#This Row],[实际费用]]=""),"",TBL_Stationery[[#This Row],[估计费用]]-TBL_Stationery[[#This Row],[实际费用]])</f>
        <v/>
      </c>
      <c r="F63" s="6"/>
    </row>
    <row r="64" spans="2:6" ht="21" customHeight="1" x14ac:dyDescent="0.5">
      <c r="B64" s="5" t="s">
        <v>56</v>
      </c>
      <c r="C64" s="8">
        <v>50</v>
      </c>
      <c r="D64" s="8"/>
      <c r="E64" s="8" t="str">
        <f>IF(OR(TBL_Stationery[[#This Row],[估计费用]]="",TBL_Stationery[[#This Row],[实际费用]]=""),"",TBL_Stationery[[#This Row],[估计费用]]-TBL_Stationery[[#This Row],[实际费用]])</f>
        <v/>
      </c>
      <c r="F64" s="6"/>
    </row>
    <row r="65" spans="2:6" ht="21" customHeight="1" x14ac:dyDescent="0.5">
      <c r="B65" s="5" t="s">
        <v>57</v>
      </c>
      <c r="C65" s="8">
        <v>50</v>
      </c>
      <c r="D65" s="8"/>
      <c r="E65" s="8" t="str">
        <f>IF(OR(TBL_Stationery[[#This Row],[估计费用]]="",TBL_Stationery[[#This Row],[实际费用]]=""),"",TBL_Stationery[[#This Row],[估计费用]]-TBL_Stationery[[#This Row],[实际费用]])</f>
        <v/>
      </c>
      <c r="F65" s="6"/>
    </row>
    <row r="66" spans="2:6" ht="21" customHeight="1" x14ac:dyDescent="0.5">
      <c r="B66" s="5" t="s">
        <v>58</v>
      </c>
      <c r="C66" s="8">
        <v>50</v>
      </c>
      <c r="D66" s="8"/>
      <c r="E66" s="8" t="str">
        <f>IF(OR(TBL_Stationery[[#This Row],[估计费用]]="",TBL_Stationery[[#This Row],[实际费用]]=""),"",TBL_Stationery[[#This Row],[估计费用]]-TBL_Stationery[[#This Row],[实际费用]])</f>
        <v/>
      </c>
      <c r="F66" s="6"/>
    </row>
    <row r="67" spans="2:6" ht="21" customHeight="1" x14ac:dyDescent="0.5">
      <c r="B67" s="5" t="s">
        <v>59</v>
      </c>
      <c r="C67" s="8">
        <v>50</v>
      </c>
      <c r="D67" s="8"/>
      <c r="E67" s="8" t="str">
        <f>IF(OR(TBL_Stationery[[#This Row],[估计费用]]="",TBL_Stationery[[#This Row],[实际费用]]=""),"",TBL_Stationery[[#This Row],[估计费用]]-TBL_Stationery[[#This Row],[实际费用]])</f>
        <v/>
      </c>
      <c r="F67" s="6"/>
    </row>
    <row r="68" spans="2:6" ht="21" customHeight="1" x14ac:dyDescent="0.5">
      <c r="B68" s="5" t="s">
        <v>26</v>
      </c>
      <c r="C68" s="8">
        <v>100</v>
      </c>
      <c r="D68" s="8"/>
      <c r="E68" s="8" t="str">
        <f>IF(OR(TBL_Stationery[[#This Row],[估计费用]]="",TBL_Stationery[[#This Row],[实际费用]]=""),"",TBL_Stationery[[#This Row],[估计费用]]-TBL_Stationery[[#This Row],[实际费用]])</f>
        <v/>
      </c>
      <c r="F68" s="6"/>
    </row>
    <row r="69" spans="2:6" ht="21" customHeight="1" x14ac:dyDescent="0.5">
      <c r="B69" s="14" t="s">
        <v>66</v>
      </c>
      <c r="C69" s="16">
        <f>SUBTOTAL(109,TBL_Stationery[估计费用])</f>
        <v>500</v>
      </c>
      <c r="D69" s="16">
        <f>SUBTOTAL(109,TBL_Stationery[实际费用])</f>
        <v>0</v>
      </c>
      <c r="E69" s="16">
        <f>TBL_Stationery[[#Totals],[估计费用]]-TBL_Stationery[[#Totals],[实际费用]]</f>
        <v>500</v>
      </c>
      <c r="F69" s="6"/>
    </row>
    <row r="70" spans="2:6" ht="21" customHeight="1" x14ac:dyDescent="0.5">
      <c r="B70" s="5"/>
      <c r="C70" s="8"/>
      <c r="D70" s="8"/>
      <c r="E70" s="8"/>
      <c r="F70" s="6"/>
    </row>
    <row r="71" spans="2:6" ht="21" customHeight="1" x14ac:dyDescent="0.5">
      <c r="B71" s="12" t="s">
        <v>15</v>
      </c>
      <c r="C71" s="13" t="s">
        <v>1</v>
      </c>
      <c r="D71" s="13" t="s">
        <v>2</v>
      </c>
      <c r="E71" s="13" t="s">
        <v>3</v>
      </c>
      <c r="F71" s="6"/>
    </row>
    <row r="72" spans="2:6" ht="21" customHeight="1" x14ac:dyDescent="0.5">
      <c r="B72" s="5" t="s">
        <v>15</v>
      </c>
      <c r="C72" s="8">
        <v>500</v>
      </c>
      <c r="D72" s="8"/>
      <c r="E72" s="8" t="str">
        <f>IF(OR(TBL_WeddingRings[[#This Row],[估计费用]]="",TBL_WeddingRings[[#This Row],[实际费用]]=""),"",TBL_WeddingRings[[#This Row],[估计费用]]-TBL_WeddingRings[[#This Row],[实际费用]])</f>
        <v/>
      </c>
      <c r="F72" s="6"/>
    </row>
    <row r="73" spans="2:6" ht="21" customHeight="1" x14ac:dyDescent="0.5">
      <c r="B73" s="5" t="s">
        <v>60</v>
      </c>
      <c r="C73" s="8">
        <v>100</v>
      </c>
      <c r="D73" s="8"/>
      <c r="E73" s="8" t="str">
        <f>IF(OR(TBL_WeddingRings[[#This Row],[估计费用]]="",TBL_WeddingRings[[#This Row],[实际费用]]=""),"",TBL_WeddingRings[[#This Row],[估计费用]]-TBL_WeddingRings[[#This Row],[实际费用]])</f>
        <v/>
      </c>
      <c r="F73" s="6"/>
    </row>
    <row r="74" spans="2:6" ht="21" customHeight="1" x14ac:dyDescent="0.5">
      <c r="B74" s="14" t="s">
        <v>66</v>
      </c>
      <c r="C74" s="16">
        <f>SUBTOTAL(109,TBL_WeddingRings[估计费用])</f>
        <v>600</v>
      </c>
      <c r="D74" s="16">
        <f>SUBTOTAL(109,TBL_WeddingRings[实际费用])</f>
        <v>0</v>
      </c>
      <c r="E74" s="16">
        <f>TBL_WeddingRings[[#Totals],[估计费用]]-TBL_WeddingRings[[#Totals],[实际费用]]</f>
        <v>600</v>
      </c>
      <c r="F74" s="6"/>
    </row>
    <row r="75" spans="2:6" ht="21" customHeight="1" x14ac:dyDescent="0.5">
      <c r="B75" s="5"/>
      <c r="C75" s="8"/>
      <c r="D75" s="8"/>
      <c r="E75" s="8"/>
      <c r="F75" s="6"/>
    </row>
    <row r="76" spans="2:6" ht="21" customHeight="1" x14ac:dyDescent="0.5">
      <c r="B76" s="12" t="s">
        <v>16</v>
      </c>
      <c r="C76" s="13" t="s">
        <v>1</v>
      </c>
      <c r="D76" s="13" t="s">
        <v>2</v>
      </c>
      <c r="E76" s="13" t="s">
        <v>3</v>
      </c>
      <c r="F76" s="6"/>
    </row>
    <row r="77" spans="2:6" ht="21" customHeight="1" x14ac:dyDescent="0.5">
      <c r="B77" s="5" t="s">
        <v>61</v>
      </c>
      <c r="C77" s="8">
        <v>100</v>
      </c>
      <c r="D77" s="8"/>
      <c r="E77" s="8" t="str">
        <f>IF(OR(TBL_Transportation[[#This Row],[估计费用]]="",TBL_Transportation[[#This Row],[实际费用]]=""),"",TBL_Transportation[[#This Row],[估计费用]]-TBL_Transportation[[#This Row],[实际费用]])</f>
        <v/>
      </c>
      <c r="F77" s="6"/>
    </row>
    <row r="78" spans="2:6" ht="21" customHeight="1" x14ac:dyDescent="0.5">
      <c r="B78" s="5" t="s">
        <v>62</v>
      </c>
      <c r="C78" s="8">
        <v>100</v>
      </c>
      <c r="D78" s="8"/>
      <c r="E78" s="8" t="str">
        <f>IF(OR(TBL_Transportation[[#This Row],[估计费用]]="",TBL_Transportation[[#This Row],[实际费用]]=""),"",TBL_Transportation[[#This Row],[估计费用]]-TBL_Transportation[[#This Row],[实际费用]])</f>
        <v/>
      </c>
      <c r="F78" s="6"/>
    </row>
    <row r="79" spans="2:6" ht="21" customHeight="1" x14ac:dyDescent="0.5">
      <c r="B79" s="5" t="s">
        <v>63</v>
      </c>
      <c r="C79" s="8">
        <v>100</v>
      </c>
      <c r="D79" s="8"/>
      <c r="E79" s="8" t="str">
        <f>IF(OR(TBL_Transportation[[#This Row],[估计费用]]="",TBL_Transportation[[#This Row],[实际费用]]=""),"",TBL_Transportation[[#This Row],[估计费用]]-TBL_Transportation[[#This Row],[实际费用]])</f>
        <v/>
      </c>
      <c r="F79" s="6"/>
    </row>
    <row r="80" spans="2:6" ht="21" customHeight="1" x14ac:dyDescent="0.5">
      <c r="B80" s="5" t="s">
        <v>64</v>
      </c>
      <c r="C80" s="8">
        <v>50</v>
      </c>
      <c r="D80" s="8"/>
      <c r="E80" s="8" t="str">
        <f>IF(OR(TBL_Transportation[[#This Row],[估计费用]]="",TBL_Transportation[[#This Row],[实际费用]]=""),"",TBL_Transportation[[#This Row],[估计费用]]-TBL_Transportation[[#This Row],[实际费用]])</f>
        <v/>
      </c>
      <c r="F80" s="6"/>
    </row>
    <row r="81" spans="2:6" ht="21" customHeight="1" x14ac:dyDescent="0.5">
      <c r="B81" s="5" t="s">
        <v>26</v>
      </c>
      <c r="C81" s="8">
        <v>100</v>
      </c>
      <c r="D81" s="8"/>
      <c r="E81" s="8" t="str">
        <f>IF(OR(TBL_Transportation[[#This Row],[估计费用]]="",TBL_Transportation[[#This Row],[实际费用]]=""),"",TBL_Transportation[[#This Row],[估计费用]]-TBL_Transportation[[#This Row],[实际费用]])</f>
        <v/>
      </c>
      <c r="F81" s="6"/>
    </row>
    <row r="82" spans="2:6" ht="21" customHeight="1" x14ac:dyDescent="0.5">
      <c r="B82" s="14" t="s">
        <v>66</v>
      </c>
      <c r="C82" s="16">
        <f>SUBTOTAL(109,TBL_Transportation[估计费用])</f>
        <v>450</v>
      </c>
      <c r="D82" s="16">
        <f>SUBTOTAL(109,TBL_Transportation[实际费用])</f>
        <v>0</v>
      </c>
      <c r="E82" s="16">
        <f>TBL_Transportation[[#Totals],[估计费用]]-TBL_Transportation[[#Totals],[实际费用]]</f>
        <v>450</v>
      </c>
      <c r="F82" s="6"/>
    </row>
    <row r="83" spans="2:6" s="18" customFormat="1" ht="21" customHeight="1" x14ac:dyDescent="0.5">
      <c r="B83" s="17"/>
      <c r="C83" s="33"/>
      <c r="D83" s="33"/>
      <c r="E83" s="33"/>
    </row>
    <row r="84" spans="2:6" s="18" customFormat="1" ht="21" customHeight="1" x14ac:dyDescent="0.5">
      <c r="B84" s="17"/>
      <c r="C84" s="33"/>
      <c r="D84" s="33"/>
      <c r="E84" s="33"/>
    </row>
    <row r="85" spans="2:6" s="18" customFormat="1" ht="21" customHeight="1" x14ac:dyDescent="0.5">
      <c r="B85" s="17"/>
      <c r="C85" s="33"/>
      <c r="D85" s="33"/>
      <c r="E85" s="33"/>
    </row>
    <row r="86" spans="2:6" s="18" customFormat="1" ht="21" customHeight="1" x14ac:dyDescent="0.5">
      <c r="B86" s="17"/>
      <c r="C86" s="33"/>
      <c r="D86" s="33"/>
      <c r="E86" s="33"/>
    </row>
    <row r="87" spans="2:6" s="18" customFormat="1" ht="21" customHeight="1" x14ac:dyDescent="0.5">
      <c r="B87" s="17"/>
      <c r="C87" s="33"/>
      <c r="D87" s="33"/>
      <c r="E87" s="33"/>
    </row>
    <row r="88" spans="2:6" s="18" customFormat="1" ht="21" customHeight="1" x14ac:dyDescent="0.5">
      <c r="B88" s="17"/>
      <c r="C88" s="33"/>
      <c r="D88" s="33"/>
      <c r="E88" s="33"/>
    </row>
    <row r="89" spans="2:6" s="18" customFormat="1" ht="21" customHeight="1" x14ac:dyDescent="0.5">
      <c r="B89" s="17"/>
      <c r="C89" s="33"/>
      <c r="D89" s="33"/>
      <c r="E89" s="33"/>
    </row>
    <row r="90" spans="2:6" s="18" customFormat="1" ht="21" customHeight="1" x14ac:dyDescent="0.5">
      <c r="B90" s="17"/>
      <c r="C90" s="33"/>
      <c r="D90" s="33"/>
      <c r="E90" s="33"/>
    </row>
    <row r="91" spans="2:6" s="18" customFormat="1" ht="21" customHeight="1" x14ac:dyDescent="0.5">
      <c r="B91" s="17"/>
      <c r="C91" s="33"/>
      <c r="D91" s="33"/>
      <c r="E91" s="33"/>
    </row>
    <row r="92" spans="2:6" s="18" customFormat="1" ht="21" customHeight="1" x14ac:dyDescent="0.5">
      <c r="B92" s="17"/>
      <c r="C92" s="33"/>
      <c r="D92" s="33"/>
      <c r="E92" s="33"/>
    </row>
    <row r="93" spans="2:6" s="18" customFormat="1" ht="21" customHeight="1" x14ac:dyDescent="0.5">
      <c r="B93" s="17"/>
      <c r="C93" s="33"/>
      <c r="D93" s="33"/>
      <c r="E93" s="33"/>
    </row>
    <row r="94" spans="2:6" s="18" customFormat="1" ht="21" customHeight="1" x14ac:dyDescent="0.5">
      <c r="B94" s="17"/>
      <c r="C94" s="33"/>
      <c r="D94" s="33"/>
      <c r="E94" s="33"/>
    </row>
    <row r="95" spans="2:6" s="18" customFormat="1" ht="21" customHeight="1" x14ac:dyDescent="0.5">
      <c r="B95" s="17"/>
      <c r="C95" s="33"/>
      <c r="D95" s="33"/>
      <c r="E95" s="33"/>
    </row>
    <row r="96" spans="2:6" s="18" customFormat="1" ht="21" customHeight="1" x14ac:dyDescent="0.5">
      <c r="B96" s="17"/>
      <c r="C96" s="33"/>
      <c r="D96" s="33"/>
      <c r="E96" s="33"/>
    </row>
    <row r="97" spans="2:5" s="18" customFormat="1" ht="21" customHeight="1" x14ac:dyDescent="0.5">
      <c r="B97" s="17"/>
      <c r="C97" s="33"/>
      <c r="D97" s="33"/>
      <c r="E97" s="33"/>
    </row>
    <row r="98" spans="2:5" s="18" customFormat="1" ht="21" customHeight="1" x14ac:dyDescent="0.5">
      <c r="B98" s="17"/>
      <c r="C98" s="33"/>
      <c r="D98" s="33"/>
      <c r="E98" s="33"/>
    </row>
    <row r="99" spans="2:5" s="18" customFormat="1" ht="21" customHeight="1" x14ac:dyDescent="0.5">
      <c r="B99" s="17"/>
      <c r="C99" s="33"/>
      <c r="D99" s="33"/>
      <c r="E99" s="33"/>
    </row>
    <row r="100" spans="2:5" s="18" customFormat="1" ht="21" customHeight="1" x14ac:dyDescent="0.5">
      <c r="B100" s="17"/>
      <c r="C100" s="33"/>
      <c r="D100" s="33"/>
      <c r="E100" s="33"/>
    </row>
    <row r="101" spans="2:5" s="18" customFormat="1" ht="21" customHeight="1" x14ac:dyDescent="0.5">
      <c r="B101" s="17"/>
      <c r="C101" s="33"/>
      <c r="D101" s="33"/>
      <c r="E101" s="33"/>
    </row>
    <row r="102" spans="2:5" s="18" customFormat="1" ht="21" customHeight="1" x14ac:dyDescent="0.5">
      <c r="B102" s="17"/>
      <c r="C102" s="33"/>
      <c r="D102" s="33"/>
      <c r="E102" s="33"/>
    </row>
    <row r="103" spans="2:5" s="18" customFormat="1" ht="21" customHeight="1" x14ac:dyDescent="0.5">
      <c r="B103" s="17"/>
      <c r="C103" s="33"/>
      <c r="D103" s="33"/>
      <c r="E103" s="33"/>
    </row>
    <row r="104" spans="2:5" s="18" customFormat="1" ht="21" customHeight="1" x14ac:dyDescent="0.5">
      <c r="B104" s="17"/>
      <c r="C104" s="33"/>
      <c r="D104" s="33"/>
      <c r="E104" s="33"/>
    </row>
    <row r="105" spans="2:5" s="18" customFormat="1" ht="21" customHeight="1" x14ac:dyDescent="0.5">
      <c r="B105" s="17"/>
      <c r="C105" s="33"/>
      <c r="D105" s="33"/>
      <c r="E105" s="33"/>
    </row>
    <row r="106" spans="2:5" s="18" customFormat="1" ht="21" customHeight="1" x14ac:dyDescent="0.5">
      <c r="B106" s="17"/>
      <c r="C106" s="33"/>
      <c r="D106" s="33"/>
      <c r="E106" s="33"/>
    </row>
    <row r="107" spans="2:5" s="18" customFormat="1" ht="21" customHeight="1" x14ac:dyDescent="0.5">
      <c r="B107" s="17"/>
      <c r="C107" s="33"/>
      <c r="D107" s="33"/>
      <c r="E107" s="33"/>
    </row>
    <row r="108" spans="2:5" s="18" customFormat="1" ht="21" customHeight="1" x14ac:dyDescent="0.5">
      <c r="B108" s="17"/>
      <c r="C108" s="33"/>
      <c r="D108" s="33"/>
      <c r="E108" s="33"/>
    </row>
    <row r="109" spans="2:5" s="18" customFormat="1" ht="21" customHeight="1" x14ac:dyDescent="0.5">
      <c r="B109" s="17"/>
      <c r="C109" s="33"/>
      <c r="D109" s="33"/>
      <c r="E109" s="33"/>
    </row>
    <row r="110" spans="2:5" s="18" customFormat="1" ht="21" customHeight="1" x14ac:dyDescent="0.5">
      <c r="B110" s="17"/>
      <c r="C110" s="33"/>
      <c r="D110" s="33"/>
      <c r="E110" s="33"/>
    </row>
    <row r="111" spans="2:5" s="18" customFormat="1" ht="21" customHeight="1" x14ac:dyDescent="0.5">
      <c r="B111" s="17"/>
      <c r="C111" s="33"/>
      <c r="D111" s="33"/>
      <c r="E111" s="33"/>
    </row>
    <row r="112" spans="2:5" s="18" customFormat="1" ht="21" customHeight="1" x14ac:dyDescent="0.5">
      <c r="B112" s="17"/>
      <c r="C112" s="33"/>
      <c r="D112" s="33"/>
      <c r="E112" s="33"/>
    </row>
    <row r="113" spans="2:5" s="18" customFormat="1" ht="21" customHeight="1" x14ac:dyDescent="0.5">
      <c r="B113" s="17"/>
      <c r="C113" s="33"/>
      <c r="D113" s="33"/>
      <c r="E113" s="33"/>
    </row>
    <row r="114" spans="2:5" s="18" customFormat="1" ht="21" customHeight="1" x14ac:dyDescent="0.5">
      <c r="B114" s="17"/>
      <c r="C114" s="33"/>
      <c r="D114" s="33"/>
      <c r="E114" s="33"/>
    </row>
    <row r="115" spans="2:5" s="18" customFormat="1" ht="21" customHeight="1" x14ac:dyDescent="0.5">
      <c r="B115" s="17"/>
      <c r="C115" s="33"/>
      <c r="D115" s="33"/>
      <c r="E115" s="33"/>
    </row>
    <row r="116" spans="2:5" s="18" customFormat="1" ht="21" customHeight="1" x14ac:dyDescent="0.5">
      <c r="B116" s="17"/>
      <c r="C116" s="33"/>
      <c r="D116" s="33"/>
      <c r="E116" s="33"/>
    </row>
    <row r="117" spans="2:5" s="18" customFormat="1" ht="21" customHeight="1" x14ac:dyDescent="0.5">
      <c r="B117" s="17"/>
      <c r="C117" s="33"/>
      <c r="D117" s="33"/>
      <c r="E117" s="33"/>
    </row>
    <row r="118" spans="2:5" s="18" customFormat="1" ht="21" customHeight="1" x14ac:dyDescent="0.5">
      <c r="B118" s="17"/>
      <c r="C118" s="33"/>
      <c r="D118" s="33"/>
      <c r="E118" s="33"/>
    </row>
    <row r="119" spans="2:5" s="18" customFormat="1" ht="21" customHeight="1" x14ac:dyDescent="0.5">
      <c r="B119" s="17"/>
      <c r="C119" s="33"/>
      <c r="D119" s="33"/>
      <c r="E119" s="33"/>
    </row>
    <row r="120" spans="2:5" s="18" customFormat="1" ht="21" customHeight="1" x14ac:dyDescent="0.5">
      <c r="B120" s="17"/>
      <c r="C120" s="33"/>
      <c r="D120" s="33"/>
      <c r="E120" s="33"/>
    </row>
    <row r="121" spans="2:5" s="18" customFormat="1" ht="21" customHeight="1" x14ac:dyDescent="0.5">
      <c r="B121" s="17"/>
      <c r="C121" s="33"/>
      <c r="D121" s="33"/>
      <c r="E121" s="33"/>
    </row>
    <row r="122" spans="2:5" s="18" customFormat="1" ht="21" customHeight="1" x14ac:dyDescent="0.5">
      <c r="B122" s="17"/>
      <c r="C122" s="33"/>
      <c r="D122" s="33"/>
      <c r="E122" s="33"/>
    </row>
    <row r="123" spans="2:5" s="18" customFormat="1" ht="21" customHeight="1" x14ac:dyDescent="0.5">
      <c r="B123" s="17"/>
      <c r="C123" s="33"/>
      <c r="D123" s="33"/>
      <c r="E123" s="33"/>
    </row>
    <row r="124" spans="2:5" s="18" customFormat="1" ht="21" customHeight="1" x14ac:dyDescent="0.5">
      <c r="B124" s="17"/>
      <c r="C124" s="33"/>
      <c r="D124" s="33"/>
      <c r="E124" s="33"/>
    </row>
    <row r="125" spans="2:5" s="18" customFormat="1" ht="21" customHeight="1" x14ac:dyDescent="0.5">
      <c r="B125" s="17"/>
      <c r="C125" s="33"/>
      <c r="D125" s="33"/>
      <c r="E125" s="33"/>
    </row>
    <row r="126" spans="2:5" s="18" customFormat="1" ht="21" customHeight="1" x14ac:dyDescent="0.5">
      <c r="B126" s="17"/>
      <c r="C126" s="33"/>
      <c r="D126" s="33"/>
      <c r="E126" s="33"/>
    </row>
    <row r="127" spans="2:5" s="18" customFormat="1" ht="21" customHeight="1" x14ac:dyDescent="0.5">
      <c r="B127" s="17"/>
      <c r="C127" s="33"/>
      <c r="D127" s="33"/>
      <c r="E127" s="33"/>
    </row>
    <row r="128" spans="2:5" s="18" customFormat="1" ht="21" customHeight="1" x14ac:dyDescent="0.5">
      <c r="B128" s="17"/>
      <c r="C128" s="33"/>
      <c r="D128" s="33"/>
      <c r="E128" s="33"/>
    </row>
    <row r="129" spans="2:5" s="18" customFormat="1" ht="21" customHeight="1" x14ac:dyDescent="0.5">
      <c r="B129" s="17"/>
      <c r="C129" s="33"/>
      <c r="D129" s="33"/>
      <c r="E129" s="33"/>
    </row>
    <row r="130" spans="2:5" s="18" customFormat="1" ht="21" customHeight="1" x14ac:dyDescent="0.5">
      <c r="B130" s="17"/>
      <c r="C130" s="33"/>
      <c r="D130" s="33"/>
      <c r="E130" s="33"/>
    </row>
    <row r="131" spans="2:5" s="18" customFormat="1" ht="21" customHeight="1" x14ac:dyDescent="0.5">
      <c r="B131" s="17"/>
      <c r="C131" s="33"/>
      <c r="D131" s="33"/>
      <c r="E131" s="33"/>
    </row>
    <row r="132" spans="2:5" s="18" customFormat="1" ht="21" customHeight="1" x14ac:dyDescent="0.5">
      <c r="B132" s="17"/>
      <c r="C132" s="33"/>
      <c r="D132" s="33"/>
      <c r="E132" s="33"/>
    </row>
    <row r="133" spans="2:5" s="18" customFormat="1" ht="21" customHeight="1" x14ac:dyDescent="0.5">
      <c r="B133" s="17"/>
      <c r="C133" s="33"/>
      <c r="D133" s="33"/>
      <c r="E133" s="33"/>
    </row>
    <row r="134" spans="2:5" s="18" customFormat="1" ht="21" customHeight="1" x14ac:dyDescent="0.5">
      <c r="B134" s="17"/>
      <c r="C134" s="33"/>
      <c r="D134" s="33"/>
      <c r="E134" s="33"/>
    </row>
    <row r="135" spans="2:5" s="18" customFormat="1" ht="21" customHeight="1" x14ac:dyDescent="0.5">
      <c r="B135" s="17"/>
      <c r="C135" s="33"/>
      <c r="D135" s="33"/>
      <c r="E135" s="33"/>
    </row>
    <row r="136" spans="2:5" s="18" customFormat="1" ht="21" customHeight="1" x14ac:dyDescent="0.5">
      <c r="B136" s="17"/>
      <c r="C136" s="33"/>
      <c r="D136" s="33"/>
      <c r="E136" s="33"/>
    </row>
    <row r="137" spans="2:5" s="18" customFormat="1" ht="21" customHeight="1" x14ac:dyDescent="0.5">
      <c r="B137" s="17"/>
      <c r="C137" s="33"/>
      <c r="D137" s="33"/>
      <c r="E137" s="33"/>
    </row>
    <row r="138" spans="2:5" s="18" customFormat="1" ht="21" customHeight="1" x14ac:dyDescent="0.5">
      <c r="B138" s="17"/>
      <c r="C138" s="33"/>
      <c r="D138" s="33"/>
      <c r="E138" s="33"/>
    </row>
    <row r="139" spans="2:5" s="18" customFormat="1" ht="21" customHeight="1" x14ac:dyDescent="0.5">
      <c r="B139" s="17"/>
      <c r="C139" s="33"/>
      <c r="D139" s="33"/>
      <c r="E139" s="33"/>
    </row>
    <row r="140" spans="2:5" s="18" customFormat="1" ht="21" customHeight="1" x14ac:dyDescent="0.5">
      <c r="B140" s="17"/>
      <c r="C140" s="33"/>
      <c r="D140" s="33"/>
      <c r="E140" s="33"/>
    </row>
    <row r="141" spans="2:5" s="18" customFormat="1" ht="21" customHeight="1" x14ac:dyDescent="0.5">
      <c r="B141" s="17"/>
      <c r="C141" s="33"/>
      <c r="D141" s="33"/>
      <c r="E141" s="33"/>
    </row>
    <row r="142" spans="2:5" s="18" customFormat="1" ht="21" customHeight="1" x14ac:dyDescent="0.5">
      <c r="B142" s="17"/>
      <c r="C142" s="33"/>
      <c r="D142" s="33"/>
      <c r="E142" s="33"/>
    </row>
    <row r="143" spans="2:5" s="18" customFormat="1" ht="21" customHeight="1" x14ac:dyDescent="0.5">
      <c r="B143" s="17"/>
      <c r="C143" s="33"/>
      <c r="D143" s="33"/>
      <c r="E143" s="33"/>
    </row>
    <row r="146" spans="2:5" s="18" customFormat="1" ht="21" customHeight="1" x14ac:dyDescent="0.5">
      <c r="B146" s="17"/>
      <c r="C146" s="33"/>
      <c r="D146" s="33"/>
      <c r="E146" s="33"/>
    </row>
    <row r="147" spans="2:5" s="18" customFormat="1" ht="21" customHeight="1" x14ac:dyDescent="0.5">
      <c r="B147" s="17"/>
      <c r="C147" s="33"/>
      <c r="D147" s="33"/>
      <c r="E147" s="33"/>
    </row>
    <row r="148" spans="2:5" s="18" customFormat="1" ht="21" customHeight="1" x14ac:dyDescent="0.5">
      <c r="B148" s="17"/>
      <c r="C148" s="33"/>
      <c r="D148" s="33"/>
      <c r="E148" s="33"/>
    </row>
    <row r="149" spans="2:5" s="18" customFormat="1" ht="21" customHeight="1" x14ac:dyDescent="0.5">
      <c r="B149" s="17"/>
      <c r="C149" s="33"/>
      <c r="D149" s="33"/>
      <c r="E149" s="33"/>
    </row>
    <row r="150" spans="2:5" s="18" customFormat="1" ht="21" customHeight="1" x14ac:dyDescent="0.5">
      <c r="B150" s="17"/>
      <c r="C150" s="33"/>
      <c r="D150" s="33"/>
      <c r="E150" s="33"/>
    </row>
    <row r="151" spans="2:5" s="18" customFormat="1" ht="21" customHeight="1" x14ac:dyDescent="0.5">
      <c r="B151" s="17"/>
      <c r="C151" s="33"/>
      <c r="D151" s="33"/>
      <c r="E151" s="33"/>
    </row>
    <row r="152" spans="2:5" s="18" customFormat="1" ht="21" customHeight="1" x14ac:dyDescent="0.5">
      <c r="B152" s="17"/>
      <c r="C152" s="33"/>
      <c r="D152" s="33"/>
      <c r="E152" s="33"/>
    </row>
    <row r="153" spans="2:5" s="18" customFormat="1" ht="21" customHeight="1" x14ac:dyDescent="0.5">
      <c r="B153" s="17"/>
      <c r="C153" s="33"/>
      <c r="D153" s="33"/>
      <c r="E153" s="33"/>
    </row>
    <row r="154" spans="2:5" s="18" customFormat="1" ht="21" customHeight="1" x14ac:dyDescent="0.5">
      <c r="B154" s="17"/>
      <c r="C154" s="33"/>
      <c r="D154" s="33"/>
      <c r="E154" s="33"/>
    </row>
    <row r="155" spans="2:5" s="18" customFormat="1" ht="21" customHeight="1" x14ac:dyDescent="0.5">
      <c r="B155" s="17"/>
      <c r="C155" s="33"/>
      <c r="D155" s="33"/>
      <c r="E155" s="33"/>
    </row>
    <row r="156" spans="2:5" s="18" customFormat="1" ht="21" customHeight="1" x14ac:dyDescent="0.5">
      <c r="B156" s="17"/>
      <c r="C156" s="33"/>
      <c r="D156" s="33"/>
      <c r="E156" s="33"/>
    </row>
    <row r="157" spans="2:5" s="18" customFormat="1" ht="21" customHeight="1" x14ac:dyDescent="0.5">
      <c r="B157" s="17"/>
      <c r="C157" s="33"/>
      <c r="D157" s="33"/>
      <c r="E157" s="33"/>
    </row>
    <row r="158" spans="2:5" s="18" customFormat="1" ht="21" customHeight="1" x14ac:dyDescent="0.5">
      <c r="B158" s="17"/>
      <c r="C158" s="33"/>
      <c r="D158" s="33"/>
      <c r="E158" s="33"/>
    </row>
    <row r="159" spans="2:5" s="18" customFormat="1" ht="21" customHeight="1" x14ac:dyDescent="0.5">
      <c r="B159" s="17"/>
      <c r="C159" s="33"/>
      <c r="D159" s="33"/>
      <c r="E159" s="33"/>
    </row>
    <row r="160" spans="2:5" s="18" customFormat="1" ht="21" customHeight="1" x14ac:dyDescent="0.5">
      <c r="B160" s="17"/>
      <c r="C160" s="33"/>
      <c r="D160" s="33"/>
      <c r="E160" s="33"/>
    </row>
    <row r="161" spans="2:5" s="18" customFormat="1" ht="21" customHeight="1" x14ac:dyDescent="0.5">
      <c r="B161" s="17"/>
      <c r="C161" s="33"/>
      <c r="D161" s="33"/>
      <c r="E161" s="33"/>
    </row>
    <row r="162" spans="2:5" s="18" customFormat="1" ht="21" customHeight="1" x14ac:dyDescent="0.5">
      <c r="B162" s="17"/>
      <c r="C162" s="33"/>
      <c r="D162" s="33"/>
      <c r="E162" s="33"/>
    </row>
    <row r="163" spans="2:5" s="18" customFormat="1" ht="21" customHeight="1" x14ac:dyDescent="0.5">
      <c r="B163" s="17"/>
      <c r="C163" s="33"/>
      <c r="D163" s="33"/>
      <c r="E163" s="33"/>
    </row>
    <row r="164" spans="2:5" s="18" customFormat="1" ht="21" customHeight="1" x14ac:dyDescent="0.5">
      <c r="B164" s="17"/>
      <c r="C164" s="33"/>
      <c r="D164" s="33"/>
      <c r="E164" s="33"/>
    </row>
    <row r="165" spans="2:5" s="18" customFormat="1" ht="21" customHeight="1" x14ac:dyDescent="0.5">
      <c r="B165" s="17"/>
      <c r="C165" s="33"/>
      <c r="D165" s="33"/>
      <c r="E165" s="33"/>
    </row>
    <row r="166" spans="2:5" s="18" customFormat="1" ht="21" customHeight="1" x14ac:dyDescent="0.5">
      <c r="B166" s="17"/>
      <c r="C166" s="33"/>
      <c r="D166" s="33"/>
      <c r="E166" s="33"/>
    </row>
    <row r="167" spans="2:5" s="18" customFormat="1" ht="21" customHeight="1" x14ac:dyDescent="0.5">
      <c r="B167" s="17"/>
      <c r="C167" s="33"/>
      <c r="D167" s="33"/>
      <c r="E167" s="33"/>
    </row>
    <row r="168" spans="2:5" s="18" customFormat="1" ht="21" customHeight="1" x14ac:dyDescent="0.5">
      <c r="B168" s="17"/>
      <c r="C168" s="33"/>
      <c r="D168" s="33"/>
      <c r="E168" s="33"/>
    </row>
    <row r="169" spans="2:5" s="18" customFormat="1" ht="21" customHeight="1" x14ac:dyDescent="0.5">
      <c r="B169" s="17"/>
      <c r="C169" s="33"/>
      <c r="D169" s="33"/>
      <c r="E169" s="33"/>
    </row>
    <row r="170" spans="2:5" s="18" customFormat="1" ht="21" customHeight="1" x14ac:dyDescent="0.5">
      <c r="B170" s="17"/>
      <c r="C170" s="33"/>
      <c r="D170" s="33"/>
      <c r="E170" s="33"/>
    </row>
    <row r="171" spans="2:5" s="18" customFormat="1" ht="21" customHeight="1" x14ac:dyDescent="0.5">
      <c r="B171" s="17"/>
      <c r="C171" s="33"/>
      <c r="D171" s="33"/>
      <c r="E171" s="33"/>
    </row>
    <row r="172" spans="2:5" s="18" customFormat="1" ht="21" customHeight="1" x14ac:dyDescent="0.5">
      <c r="B172" s="17"/>
      <c r="C172" s="33"/>
      <c r="D172" s="33"/>
      <c r="E172" s="33"/>
    </row>
    <row r="173" spans="2:5" s="18" customFormat="1" ht="21" customHeight="1" x14ac:dyDescent="0.5">
      <c r="B173" s="17"/>
      <c r="C173" s="33"/>
      <c r="D173" s="33"/>
      <c r="E173" s="33"/>
    </row>
    <row r="174" spans="2:5" s="18" customFormat="1" ht="21" customHeight="1" x14ac:dyDescent="0.5">
      <c r="B174" s="17"/>
      <c r="C174" s="33"/>
      <c r="D174" s="33"/>
      <c r="E174" s="33"/>
    </row>
    <row r="175" spans="2:5" s="18" customFormat="1" ht="21" customHeight="1" x14ac:dyDescent="0.5">
      <c r="B175" s="17"/>
      <c r="C175" s="33"/>
      <c r="D175" s="33"/>
      <c r="E175" s="33"/>
    </row>
    <row r="176" spans="2:5" s="18" customFormat="1" ht="21" customHeight="1" x14ac:dyDescent="0.5">
      <c r="B176" s="17"/>
      <c r="C176" s="33"/>
      <c r="D176" s="33"/>
      <c r="E176" s="33"/>
    </row>
    <row r="177" spans="2:5" s="18" customFormat="1" ht="21" customHeight="1" x14ac:dyDescent="0.5">
      <c r="B177" s="17"/>
      <c r="C177" s="33"/>
      <c r="D177" s="33"/>
      <c r="E177" s="33"/>
    </row>
    <row r="178" spans="2:5" s="18" customFormat="1" ht="21" customHeight="1" x14ac:dyDescent="0.5">
      <c r="B178" s="17"/>
      <c r="C178" s="33"/>
      <c r="D178" s="33"/>
      <c r="E178" s="33"/>
    </row>
    <row r="179" spans="2:5" s="18" customFormat="1" ht="21" customHeight="1" x14ac:dyDescent="0.5">
      <c r="B179" s="17"/>
      <c r="C179" s="33"/>
      <c r="D179" s="33"/>
      <c r="E179" s="33"/>
    </row>
    <row r="180" spans="2:5" s="18" customFormat="1" ht="21" customHeight="1" x14ac:dyDescent="0.5">
      <c r="B180" s="17"/>
      <c r="C180" s="33"/>
      <c r="D180" s="33"/>
      <c r="E180" s="33"/>
    </row>
    <row r="181" spans="2:5" s="18" customFormat="1" ht="21" customHeight="1" x14ac:dyDescent="0.5">
      <c r="B181" s="17"/>
      <c r="C181" s="33"/>
      <c r="D181" s="33"/>
      <c r="E181" s="33"/>
    </row>
    <row r="182" spans="2:5" s="18" customFormat="1" ht="21" customHeight="1" x14ac:dyDescent="0.5">
      <c r="B182" s="17"/>
      <c r="C182" s="33"/>
      <c r="D182" s="33"/>
      <c r="E182" s="33"/>
    </row>
    <row r="183" spans="2:5" s="18" customFormat="1" ht="21" customHeight="1" x14ac:dyDescent="0.5">
      <c r="B183" s="17"/>
      <c r="C183" s="33"/>
      <c r="D183" s="33"/>
      <c r="E183" s="33"/>
    </row>
    <row r="184" spans="2:5" s="18" customFormat="1" ht="21" customHeight="1" x14ac:dyDescent="0.5">
      <c r="B184" s="17"/>
      <c r="C184" s="33"/>
      <c r="D184" s="33"/>
      <c r="E184" s="33"/>
    </row>
    <row r="185" spans="2:5" s="18" customFormat="1" ht="21" customHeight="1" x14ac:dyDescent="0.5">
      <c r="B185" s="17"/>
      <c r="C185" s="33"/>
      <c r="D185" s="33"/>
      <c r="E185" s="33"/>
    </row>
    <row r="186" spans="2:5" s="18" customFormat="1" ht="21" customHeight="1" x14ac:dyDescent="0.5">
      <c r="B186" s="17"/>
      <c r="C186" s="33"/>
      <c r="D186" s="33"/>
      <c r="E186" s="33"/>
    </row>
    <row r="187" spans="2:5" s="18" customFormat="1" ht="21" customHeight="1" x14ac:dyDescent="0.5">
      <c r="B187" s="17"/>
      <c r="C187" s="33"/>
      <c r="D187" s="33"/>
      <c r="E187" s="33"/>
    </row>
    <row r="188" spans="2:5" s="18" customFormat="1" ht="21" customHeight="1" x14ac:dyDescent="0.5">
      <c r="B188" s="17"/>
      <c r="C188" s="33"/>
      <c r="D188" s="33"/>
      <c r="E188" s="33"/>
    </row>
    <row r="189" spans="2:5" s="18" customFormat="1" ht="21" customHeight="1" x14ac:dyDescent="0.5">
      <c r="B189" s="17"/>
      <c r="C189" s="33"/>
      <c r="D189" s="33"/>
      <c r="E189" s="33"/>
    </row>
    <row r="190" spans="2:5" s="18" customFormat="1" ht="21" customHeight="1" x14ac:dyDescent="0.5">
      <c r="B190" s="17"/>
      <c r="C190" s="33"/>
      <c r="D190" s="33"/>
      <c r="E190" s="33"/>
    </row>
    <row r="191" spans="2:5" s="18" customFormat="1" ht="21" customHeight="1" x14ac:dyDescent="0.5">
      <c r="B191" s="17"/>
      <c r="C191" s="33"/>
      <c r="D191" s="33"/>
      <c r="E191" s="33"/>
    </row>
    <row r="192" spans="2:5" s="18" customFormat="1" ht="21" customHeight="1" x14ac:dyDescent="0.5">
      <c r="B192" s="17"/>
      <c r="C192" s="33"/>
      <c r="D192" s="33"/>
      <c r="E192" s="33"/>
    </row>
    <row r="193" spans="2:5" s="18" customFormat="1" ht="21" customHeight="1" x14ac:dyDescent="0.5">
      <c r="B193" s="17"/>
      <c r="C193" s="33"/>
      <c r="D193" s="33"/>
      <c r="E193" s="33"/>
    </row>
    <row r="194" spans="2:5" s="18" customFormat="1" ht="21" customHeight="1" x14ac:dyDescent="0.5">
      <c r="B194" s="17"/>
      <c r="C194" s="33"/>
      <c r="D194" s="33"/>
      <c r="E194" s="33"/>
    </row>
    <row r="195" spans="2:5" s="18" customFormat="1" ht="21" customHeight="1" x14ac:dyDescent="0.5">
      <c r="B195" s="17"/>
      <c r="C195" s="33"/>
      <c r="D195" s="33"/>
      <c r="E195" s="33"/>
    </row>
    <row r="196" spans="2:5" s="18" customFormat="1" ht="21" customHeight="1" x14ac:dyDescent="0.5">
      <c r="B196" s="17"/>
      <c r="C196" s="33"/>
      <c r="D196" s="33"/>
      <c r="E196" s="33"/>
    </row>
    <row r="197" spans="2:5" s="18" customFormat="1" ht="21" customHeight="1" x14ac:dyDescent="0.5">
      <c r="B197" s="17"/>
      <c r="C197" s="33"/>
      <c r="D197" s="33"/>
      <c r="E197" s="33"/>
    </row>
    <row r="198" spans="2:5" s="18" customFormat="1" ht="21" customHeight="1" x14ac:dyDescent="0.5">
      <c r="B198" s="17"/>
      <c r="C198" s="33"/>
      <c r="D198" s="33"/>
      <c r="E198" s="33"/>
    </row>
    <row r="199" spans="2:5" s="18" customFormat="1" ht="21" customHeight="1" x14ac:dyDescent="0.5">
      <c r="B199" s="17"/>
      <c r="C199" s="33"/>
      <c r="D199" s="33"/>
      <c r="E199" s="33"/>
    </row>
    <row r="200" spans="2:5" s="18" customFormat="1" ht="21" customHeight="1" x14ac:dyDescent="0.5">
      <c r="B200" s="17"/>
      <c r="C200" s="33"/>
      <c r="D200" s="33"/>
      <c r="E200" s="33"/>
    </row>
    <row r="201" spans="2:5" s="18" customFormat="1" ht="21" customHeight="1" x14ac:dyDescent="0.5">
      <c r="B201" s="17"/>
      <c r="C201" s="33"/>
      <c r="D201" s="33"/>
      <c r="E201" s="33"/>
    </row>
    <row r="202" spans="2:5" s="18" customFormat="1" ht="21" customHeight="1" x14ac:dyDescent="0.5">
      <c r="B202" s="17"/>
      <c r="C202" s="33"/>
      <c r="D202" s="33"/>
      <c r="E202" s="33"/>
    </row>
    <row r="203" spans="2:5" s="18" customFormat="1" ht="21" customHeight="1" x14ac:dyDescent="0.5">
      <c r="B203" s="17"/>
      <c r="C203" s="33"/>
      <c r="D203" s="33"/>
      <c r="E203" s="33"/>
    </row>
    <row r="204" spans="2:5" s="18" customFormat="1" ht="21" customHeight="1" x14ac:dyDescent="0.5">
      <c r="B204" s="17"/>
      <c r="C204" s="33"/>
      <c r="D204" s="33"/>
      <c r="E204" s="33"/>
    </row>
    <row r="205" spans="2:5" s="18" customFormat="1" ht="21" customHeight="1" x14ac:dyDescent="0.5">
      <c r="B205" s="17"/>
      <c r="C205" s="33"/>
      <c r="D205" s="33"/>
      <c r="E205" s="33"/>
    </row>
    <row r="206" spans="2:5" s="18" customFormat="1" ht="21" customHeight="1" x14ac:dyDescent="0.5">
      <c r="B206" s="17"/>
      <c r="C206" s="33"/>
      <c r="D206" s="33"/>
      <c r="E206" s="33"/>
    </row>
    <row r="207" spans="2:5" s="18" customFormat="1" ht="21" customHeight="1" x14ac:dyDescent="0.5">
      <c r="B207" s="17"/>
      <c r="C207" s="33"/>
      <c r="D207" s="33"/>
      <c r="E207" s="33"/>
    </row>
    <row r="208" spans="2:5" s="18" customFormat="1" ht="21" customHeight="1" x14ac:dyDescent="0.5">
      <c r="B208" s="17"/>
      <c r="C208" s="33"/>
      <c r="D208" s="33"/>
      <c r="E208" s="33"/>
    </row>
    <row r="209" spans="2:5" s="18" customFormat="1" ht="21" customHeight="1" x14ac:dyDescent="0.5">
      <c r="B209" s="17"/>
      <c r="C209" s="33"/>
      <c r="D209" s="33"/>
      <c r="E209" s="33"/>
    </row>
    <row r="210" spans="2:5" s="18" customFormat="1" ht="21" customHeight="1" x14ac:dyDescent="0.5">
      <c r="B210" s="17"/>
      <c r="C210" s="33"/>
      <c r="D210" s="33"/>
      <c r="E210" s="33"/>
    </row>
    <row r="211" spans="2:5" s="18" customFormat="1" ht="21" customHeight="1" x14ac:dyDescent="0.5">
      <c r="B211" s="17"/>
      <c r="C211" s="33"/>
      <c r="D211" s="33"/>
      <c r="E211" s="33"/>
    </row>
    <row r="212" spans="2:5" s="18" customFormat="1" ht="21" customHeight="1" x14ac:dyDescent="0.5">
      <c r="B212" s="17"/>
      <c r="C212" s="33"/>
      <c r="D212" s="33"/>
      <c r="E212" s="33"/>
    </row>
    <row r="213" spans="2:5" s="18" customFormat="1" ht="21" customHeight="1" x14ac:dyDescent="0.5">
      <c r="B213" s="17"/>
      <c r="C213" s="33"/>
      <c r="D213" s="33"/>
      <c r="E213" s="33"/>
    </row>
    <row r="214" spans="2:5" s="18" customFormat="1" ht="21" customHeight="1" x14ac:dyDescent="0.5">
      <c r="B214" s="17"/>
      <c r="C214" s="33"/>
      <c r="D214" s="33"/>
      <c r="E214" s="33"/>
    </row>
    <row r="215" spans="2:5" s="18" customFormat="1" ht="21" customHeight="1" x14ac:dyDescent="0.5">
      <c r="B215" s="17"/>
      <c r="C215" s="33"/>
      <c r="D215" s="33"/>
      <c r="E215" s="33"/>
    </row>
    <row r="216" spans="2:5" s="18" customFormat="1" ht="21" customHeight="1" x14ac:dyDescent="0.5">
      <c r="B216" s="17"/>
      <c r="C216" s="33"/>
      <c r="D216" s="33"/>
      <c r="E216" s="33"/>
    </row>
    <row r="217" spans="2:5" s="18" customFormat="1" ht="21" customHeight="1" x14ac:dyDescent="0.5">
      <c r="B217" s="17"/>
      <c r="C217" s="33"/>
      <c r="D217" s="33"/>
      <c r="E217" s="33"/>
    </row>
    <row r="218" spans="2:5" s="18" customFormat="1" ht="21" customHeight="1" x14ac:dyDescent="0.5">
      <c r="B218" s="17"/>
      <c r="C218" s="33"/>
      <c r="D218" s="33"/>
      <c r="E218" s="33"/>
    </row>
    <row r="219" spans="2:5" s="18" customFormat="1" ht="21" customHeight="1" x14ac:dyDescent="0.5">
      <c r="B219" s="17"/>
      <c r="C219" s="33"/>
      <c r="D219" s="33"/>
      <c r="E219" s="33"/>
    </row>
    <row r="220" spans="2:5" s="18" customFormat="1" ht="21" customHeight="1" x14ac:dyDescent="0.5">
      <c r="B220" s="17"/>
      <c r="C220" s="33"/>
      <c r="D220" s="33"/>
      <c r="E220" s="33"/>
    </row>
    <row r="221" spans="2:5" s="18" customFormat="1" ht="21" customHeight="1" x14ac:dyDescent="0.5">
      <c r="B221" s="17"/>
      <c r="C221" s="33"/>
      <c r="D221" s="33"/>
      <c r="E221" s="33"/>
    </row>
    <row r="222" spans="2:5" s="18" customFormat="1" ht="21" customHeight="1" x14ac:dyDescent="0.5">
      <c r="B222" s="17"/>
      <c r="C222" s="33"/>
      <c r="D222" s="33"/>
      <c r="E222" s="33"/>
    </row>
    <row r="223" spans="2:5" s="18" customFormat="1" ht="21" customHeight="1" x14ac:dyDescent="0.5">
      <c r="B223" s="17"/>
      <c r="C223" s="33"/>
      <c r="D223" s="33"/>
      <c r="E223" s="33"/>
    </row>
    <row r="224" spans="2:5" s="18" customFormat="1" ht="21" customHeight="1" x14ac:dyDescent="0.5">
      <c r="B224" s="17"/>
      <c r="C224" s="33"/>
      <c r="D224" s="33"/>
      <c r="E224" s="33"/>
    </row>
    <row r="225" spans="2:5" s="18" customFormat="1" ht="21" customHeight="1" x14ac:dyDescent="0.5">
      <c r="B225" s="17"/>
      <c r="C225" s="33"/>
      <c r="D225" s="33"/>
      <c r="E225" s="33"/>
    </row>
    <row r="226" spans="2:5" s="18" customFormat="1" ht="21" customHeight="1" x14ac:dyDescent="0.5">
      <c r="B226" s="17"/>
      <c r="C226" s="33"/>
      <c r="D226" s="33"/>
      <c r="E226" s="33"/>
    </row>
    <row r="227" spans="2:5" s="18" customFormat="1" ht="21" customHeight="1" x14ac:dyDescent="0.5">
      <c r="B227" s="17"/>
      <c r="C227" s="33"/>
      <c r="D227" s="33"/>
      <c r="E227" s="33"/>
    </row>
    <row r="228" spans="2:5" s="18" customFormat="1" ht="21" customHeight="1" x14ac:dyDescent="0.5">
      <c r="B228" s="17"/>
      <c r="C228" s="33"/>
      <c r="D228" s="33"/>
      <c r="E228" s="33"/>
    </row>
    <row r="229" spans="2:5" s="18" customFormat="1" ht="21" customHeight="1" x14ac:dyDescent="0.5">
      <c r="B229" s="17"/>
      <c r="C229" s="33"/>
      <c r="D229" s="33"/>
      <c r="E229" s="33"/>
    </row>
    <row r="230" spans="2:5" s="18" customFormat="1" ht="21" customHeight="1" x14ac:dyDescent="0.5">
      <c r="B230" s="17"/>
      <c r="C230" s="33"/>
      <c r="D230" s="33"/>
      <c r="E230" s="33"/>
    </row>
    <row r="231" spans="2:5" s="18" customFormat="1" ht="21" customHeight="1" x14ac:dyDescent="0.5">
      <c r="B231" s="17"/>
      <c r="C231" s="33"/>
      <c r="D231" s="33"/>
      <c r="E231" s="33"/>
    </row>
    <row r="232" spans="2:5" s="18" customFormat="1" ht="21" customHeight="1" x14ac:dyDescent="0.5">
      <c r="B232" s="17"/>
      <c r="C232" s="33"/>
      <c r="D232" s="33"/>
      <c r="E232" s="33"/>
    </row>
    <row r="233" spans="2:5" s="18" customFormat="1" ht="21" customHeight="1" x14ac:dyDescent="0.5">
      <c r="B233" s="17"/>
      <c r="C233" s="33"/>
      <c r="D233" s="33"/>
      <c r="E233" s="33"/>
    </row>
    <row r="234" spans="2:5" s="18" customFormat="1" ht="21" customHeight="1" x14ac:dyDescent="0.5">
      <c r="B234" s="17"/>
      <c r="C234" s="33"/>
      <c r="D234" s="33"/>
      <c r="E234" s="33"/>
    </row>
    <row r="235" spans="2:5" s="18" customFormat="1" ht="21" customHeight="1" x14ac:dyDescent="0.5">
      <c r="B235" s="17"/>
      <c r="C235" s="33"/>
      <c r="D235" s="33"/>
      <c r="E235" s="33"/>
    </row>
    <row r="236" spans="2:5" s="18" customFormat="1" ht="21" customHeight="1" x14ac:dyDescent="0.5">
      <c r="B236" s="17"/>
      <c r="C236" s="33"/>
      <c r="D236" s="33"/>
      <c r="E236" s="33"/>
    </row>
    <row r="237" spans="2:5" s="18" customFormat="1" ht="21" customHeight="1" x14ac:dyDescent="0.5">
      <c r="B237" s="17"/>
      <c r="C237" s="33"/>
      <c r="D237" s="33"/>
      <c r="E237" s="33"/>
    </row>
    <row r="238" spans="2:5" s="18" customFormat="1" ht="21" customHeight="1" x14ac:dyDescent="0.5">
      <c r="B238" s="17"/>
      <c r="C238" s="33"/>
      <c r="D238" s="33"/>
      <c r="E238" s="33"/>
    </row>
    <row r="239" spans="2:5" s="18" customFormat="1" ht="21" customHeight="1" x14ac:dyDescent="0.5">
      <c r="B239" s="17"/>
      <c r="C239" s="33"/>
      <c r="D239" s="33"/>
      <c r="E239" s="33"/>
    </row>
    <row r="240" spans="2:5" s="18" customFormat="1" ht="21" customHeight="1" x14ac:dyDescent="0.5">
      <c r="B240" s="17"/>
      <c r="C240" s="33"/>
      <c r="D240" s="33"/>
      <c r="E240" s="33"/>
    </row>
    <row r="241" spans="2:5" s="18" customFormat="1" ht="21" customHeight="1" x14ac:dyDescent="0.5">
      <c r="B241" s="17"/>
      <c r="C241" s="33"/>
      <c r="D241" s="33"/>
      <c r="E241" s="33"/>
    </row>
    <row r="242" spans="2:5" s="18" customFormat="1" ht="21" customHeight="1" x14ac:dyDescent="0.5">
      <c r="B242" s="17"/>
      <c r="C242" s="33"/>
      <c r="D242" s="33"/>
      <c r="E242" s="33"/>
    </row>
    <row r="243" spans="2:5" s="18" customFormat="1" ht="21" customHeight="1" x14ac:dyDescent="0.5">
      <c r="B243" s="17"/>
      <c r="C243" s="33"/>
      <c r="D243" s="33"/>
      <c r="E243" s="33"/>
    </row>
    <row r="244" spans="2:5" s="18" customFormat="1" ht="21" customHeight="1" x14ac:dyDescent="0.5">
      <c r="B244" s="17"/>
      <c r="C244" s="33"/>
      <c r="D244" s="33"/>
      <c r="E244" s="33"/>
    </row>
    <row r="245" spans="2:5" s="18" customFormat="1" ht="21" customHeight="1" x14ac:dyDescent="0.5">
      <c r="B245" s="17"/>
      <c r="C245" s="33"/>
      <c r="D245" s="33"/>
      <c r="E245" s="33"/>
    </row>
    <row r="246" spans="2:5" s="18" customFormat="1" ht="21" customHeight="1" x14ac:dyDescent="0.5">
      <c r="B246" s="17"/>
      <c r="C246" s="33"/>
      <c r="D246" s="33"/>
      <c r="E246" s="33"/>
    </row>
    <row r="247" spans="2:5" s="18" customFormat="1" ht="21" customHeight="1" x14ac:dyDescent="0.5">
      <c r="B247" s="17"/>
      <c r="C247" s="33"/>
      <c r="D247" s="33"/>
      <c r="E247" s="33"/>
    </row>
    <row r="248" spans="2:5" s="18" customFormat="1" ht="21" customHeight="1" x14ac:dyDescent="0.5">
      <c r="B248" s="17"/>
      <c r="C248" s="33"/>
      <c r="D248" s="33"/>
      <c r="E248" s="33"/>
    </row>
    <row r="249" spans="2:5" s="18" customFormat="1" ht="21" customHeight="1" x14ac:dyDescent="0.5">
      <c r="B249" s="17"/>
      <c r="C249" s="33"/>
      <c r="D249" s="33"/>
      <c r="E249" s="33"/>
    </row>
    <row r="250" spans="2:5" s="18" customFormat="1" ht="21" customHeight="1" x14ac:dyDescent="0.5">
      <c r="B250" s="17"/>
      <c r="C250" s="33"/>
      <c r="D250" s="33"/>
      <c r="E250" s="33"/>
    </row>
    <row r="251" spans="2:5" s="18" customFormat="1" ht="21" customHeight="1" x14ac:dyDescent="0.5">
      <c r="B251" s="17"/>
      <c r="C251" s="33"/>
      <c r="D251" s="33"/>
      <c r="E251" s="33"/>
    </row>
    <row r="252" spans="2:5" s="18" customFormat="1" ht="21" customHeight="1" x14ac:dyDescent="0.5">
      <c r="B252" s="17"/>
      <c r="C252" s="33"/>
      <c r="D252" s="33"/>
      <c r="E252" s="33"/>
    </row>
    <row r="253" spans="2:5" s="18" customFormat="1" ht="21" customHeight="1" x14ac:dyDescent="0.5">
      <c r="B253" s="17"/>
      <c r="C253" s="33"/>
      <c r="D253" s="33"/>
      <c r="E253" s="33"/>
    </row>
    <row r="254" spans="2:5" s="18" customFormat="1" ht="21" customHeight="1" x14ac:dyDescent="0.5">
      <c r="B254" s="17"/>
      <c r="C254" s="33"/>
      <c r="D254" s="33"/>
      <c r="E254" s="33"/>
    </row>
    <row r="255" spans="2:5" s="18" customFormat="1" ht="21" customHeight="1" x14ac:dyDescent="0.5">
      <c r="B255" s="17"/>
      <c r="C255" s="33"/>
      <c r="D255" s="33"/>
      <c r="E255" s="33"/>
    </row>
    <row r="256" spans="2:5" s="18" customFormat="1" ht="21" customHeight="1" x14ac:dyDescent="0.5">
      <c r="B256" s="17"/>
      <c r="C256" s="33"/>
      <c r="D256" s="33"/>
      <c r="E256" s="33"/>
    </row>
    <row r="257" spans="2:5" s="18" customFormat="1" ht="21" customHeight="1" x14ac:dyDescent="0.5">
      <c r="B257" s="17"/>
      <c r="C257" s="33"/>
      <c r="D257" s="33"/>
      <c r="E257" s="33"/>
    </row>
    <row r="258" spans="2:5" s="18" customFormat="1" ht="21" customHeight="1" x14ac:dyDescent="0.5">
      <c r="B258" s="17"/>
      <c r="C258" s="33"/>
      <c r="D258" s="33"/>
      <c r="E258" s="33"/>
    </row>
    <row r="259" spans="2:5" s="18" customFormat="1" ht="21" customHeight="1" x14ac:dyDescent="0.5">
      <c r="B259" s="17"/>
      <c r="C259" s="33"/>
      <c r="D259" s="33"/>
      <c r="E259" s="33"/>
    </row>
    <row r="260" spans="2:5" s="18" customFormat="1" ht="21" customHeight="1" x14ac:dyDescent="0.5">
      <c r="B260" s="17"/>
      <c r="C260" s="33"/>
      <c r="D260" s="33"/>
      <c r="E260" s="33"/>
    </row>
    <row r="261" spans="2:5" s="18" customFormat="1" ht="21" customHeight="1" x14ac:dyDescent="0.5">
      <c r="B261" s="17"/>
      <c r="C261" s="33"/>
      <c r="D261" s="33"/>
      <c r="E261" s="33"/>
    </row>
    <row r="262" spans="2:5" s="18" customFormat="1" ht="21" customHeight="1" x14ac:dyDescent="0.5">
      <c r="B262" s="17"/>
      <c r="C262" s="33"/>
      <c r="D262" s="33"/>
      <c r="E262" s="33"/>
    </row>
    <row r="263" spans="2:5" s="18" customFormat="1" ht="21" customHeight="1" x14ac:dyDescent="0.5">
      <c r="B263" s="17"/>
      <c r="C263" s="33"/>
      <c r="D263" s="33"/>
      <c r="E263" s="33"/>
    </row>
    <row r="264" spans="2:5" s="18" customFormat="1" ht="21" customHeight="1" x14ac:dyDescent="0.5">
      <c r="B264" s="17"/>
      <c r="C264" s="33"/>
      <c r="D264" s="33"/>
      <c r="E264" s="33"/>
    </row>
    <row r="265" spans="2:5" s="18" customFormat="1" ht="21" customHeight="1" x14ac:dyDescent="0.5">
      <c r="B265" s="17"/>
      <c r="C265" s="33"/>
      <c r="D265" s="33"/>
      <c r="E265" s="33"/>
    </row>
    <row r="266" spans="2:5" s="18" customFormat="1" ht="21" customHeight="1" x14ac:dyDescent="0.5">
      <c r="B266" s="17"/>
      <c r="C266" s="33"/>
      <c r="D266" s="33"/>
      <c r="E266" s="33"/>
    </row>
    <row r="267" spans="2:5" s="18" customFormat="1" ht="21" customHeight="1" x14ac:dyDescent="0.5">
      <c r="B267" s="17"/>
      <c r="C267" s="33"/>
      <c r="D267" s="33"/>
      <c r="E267" s="33"/>
    </row>
    <row r="268" spans="2:5" s="18" customFormat="1" ht="21" customHeight="1" x14ac:dyDescent="0.5">
      <c r="B268" s="17"/>
      <c r="C268" s="33"/>
      <c r="D268" s="33"/>
      <c r="E268" s="33"/>
    </row>
    <row r="269" spans="2:5" s="18" customFormat="1" ht="21" customHeight="1" x14ac:dyDescent="0.5">
      <c r="B269" s="17"/>
      <c r="C269" s="33"/>
      <c r="D269" s="33"/>
      <c r="E269" s="33"/>
    </row>
    <row r="270" spans="2:5" s="18" customFormat="1" ht="21" customHeight="1" x14ac:dyDescent="0.5">
      <c r="B270" s="17"/>
      <c r="C270" s="33"/>
      <c r="D270" s="33"/>
      <c r="E270" s="33"/>
    </row>
    <row r="271" spans="2:5" s="18" customFormat="1" ht="21" customHeight="1" x14ac:dyDescent="0.5">
      <c r="B271" s="17"/>
      <c r="C271" s="33"/>
      <c r="D271" s="33"/>
      <c r="E271" s="33"/>
    </row>
    <row r="272" spans="2:5" s="18" customFormat="1" ht="21" customHeight="1" x14ac:dyDescent="0.5">
      <c r="B272" s="17"/>
      <c r="C272" s="33"/>
      <c r="D272" s="33"/>
      <c r="E272" s="33"/>
    </row>
    <row r="273" spans="2:5" s="18" customFormat="1" ht="21" customHeight="1" x14ac:dyDescent="0.5">
      <c r="B273" s="17"/>
      <c r="C273" s="33"/>
      <c r="D273" s="33"/>
      <c r="E273" s="33"/>
    </row>
    <row r="274" spans="2:5" s="18" customFormat="1" ht="21" customHeight="1" x14ac:dyDescent="0.5">
      <c r="B274" s="17"/>
      <c r="C274" s="33"/>
      <c r="D274" s="33"/>
      <c r="E274" s="33"/>
    </row>
    <row r="275" spans="2:5" s="18" customFormat="1" ht="21" customHeight="1" x14ac:dyDescent="0.5">
      <c r="B275" s="17"/>
      <c r="C275" s="33"/>
      <c r="D275" s="33"/>
      <c r="E275" s="33"/>
    </row>
    <row r="276" spans="2:5" s="18" customFormat="1" ht="21" customHeight="1" x14ac:dyDescent="0.5">
      <c r="B276" s="17"/>
      <c r="C276" s="33"/>
      <c r="D276" s="33"/>
      <c r="E276" s="33"/>
    </row>
    <row r="277" spans="2:5" s="18" customFormat="1" ht="21" customHeight="1" x14ac:dyDescent="0.5">
      <c r="B277" s="17"/>
      <c r="C277" s="33"/>
      <c r="D277" s="33"/>
      <c r="E277" s="33"/>
    </row>
    <row r="278" spans="2:5" s="18" customFormat="1" ht="21" customHeight="1" x14ac:dyDescent="0.5">
      <c r="B278" s="17"/>
      <c r="C278" s="33"/>
      <c r="D278" s="33"/>
      <c r="E278" s="33"/>
    </row>
    <row r="279" spans="2:5" s="18" customFormat="1" ht="21" customHeight="1" x14ac:dyDescent="0.5">
      <c r="B279" s="17"/>
      <c r="C279" s="33"/>
      <c r="D279" s="33"/>
      <c r="E279" s="33"/>
    </row>
    <row r="280" spans="2:5" s="18" customFormat="1" ht="21" customHeight="1" x14ac:dyDescent="0.5">
      <c r="B280" s="17"/>
      <c r="C280" s="33"/>
      <c r="D280" s="33"/>
      <c r="E280" s="33"/>
    </row>
    <row r="281" spans="2:5" s="18" customFormat="1" ht="21" customHeight="1" x14ac:dyDescent="0.5">
      <c r="B281" s="17"/>
      <c r="C281" s="33"/>
      <c r="D281" s="33"/>
      <c r="E281" s="33"/>
    </row>
    <row r="282" spans="2:5" s="18" customFormat="1" ht="21" customHeight="1" x14ac:dyDescent="0.5">
      <c r="B282" s="17"/>
      <c r="C282" s="33"/>
      <c r="D282" s="33"/>
      <c r="E282" s="33"/>
    </row>
    <row r="283" spans="2:5" s="18" customFormat="1" ht="21" customHeight="1" x14ac:dyDescent="0.5">
      <c r="B283" s="17"/>
      <c r="C283" s="33"/>
      <c r="D283" s="33"/>
      <c r="E283" s="33"/>
    </row>
    <row r="284" spans="2:5" s="18" customFormat="1" ht="21" customHeight="1" x14ac:dyDescent="0.5">
      <c r="B284" s="17"/>
      <c r="C284" s="33"/>
      <c r="D284" s="33"/>
      <c r="E284" s="33"/>
    </row>
    <row r="285" spans="2:5" s="18" customFormat="1" ht="21" customHeight="1" x14ac:dyDescent="0.5">
      <c r="B285" s="17"/>
      <c r="C285" s="33"/>
      <c r="D285" s="33"/>
      <c r="E285" s="33"/>
    </row>
    <row r="286" spans="2:5" s="18" customFormat="1" ht="21" customHeight="1" x14ac:dyDescent="0.5">
      <c r="B286" s="17"/>
      <c r="C286" s="33"/>
      <c r="D286" s="33"/>
      <c r="E286" s="33"/>
    </row>
    <row r="287" spans="2:5" s="18" customFormat="1" ht="21" customHeight="1" x14ac:dyDescent="0.5">
      <c r="B287" s="17"/>
      <c r="C287" s="33"/>
      <c r="D287" s="33"/>
      <c r="E287" s="33"/>
    </row>
    <row r="288" spans="2:5" s="18" customFormat="1" ht="21" customHeight="1" x14ac:dyDescent="0.5">
      <c r="B288" s="17"/>
      <c r="C288" s="33"/>
      <c r="D288" s="33"/>
      <c r="E288" s="33"/>
    </row>
    <row r="289" spans="2:5" s="18" customFormat="1" ht="21" customHeight="1" x14ac:dyDescent="0.5">
      <c r="B289" s="17"/>
      <c r="C289" s="33"/>
      <c r="D289" s="33"/>
      <c r="E289" s="33"/>
    </row>
    <row r="290" spans="2:5" s="18" customFormat="1" ht="21" customHeight="1" x14ac:dyDescent="0.5">
      <c r="B290" s="17"/>
      <c r="C290" s="33"/>
      <c r="D290" s="33"/>
      <c r="E290" s="33"/>
    </row>
    <row r="291" spans="2:5" s="18" customFormat="1" ht="21" customHeight="1" x14ac:dyDescent="0.5">
      <c r="B291" s="17"/>
      <c r="C291" s="33"/>
      <c r="D291" s="33"/>
      <c r="E291" s="33"/>
    </row>
    <row r="292" spans="2:5" s="18" customFormat="1" ht="21" customHeight="1" x14ac:dyDescent="0.5">
      <c r="B292" s="17"/>
      <c r="C292" s="33"/>
      <c r="D292" s="33"/>
      <c r="E292" s="33"/>
    </row>
    <row r="293" spans="2:5" s="18" customFormat="1" ht="21" customHeight="1" x14ac:dyDescent="0.5">
      <c r="B293" s="17"/>
      <c r="C293" s="33"/>
      <c r="D293" s="33"/>
      <c r="E293" s="33"/>
    </row>
    <row r="294" spans="2:5" s="18" customFormat="1" ht="21" customHeight="1" x14ac:dyDescent="0.5">
      <c r="B294" s="17"/>
      <c r="C294" s="33"/>
      <c r="D294" s="33"/>
      <c r="E294" s="33"/>
    </row>
    <row r="295" spans="2:5" s="18" customFormat="1" ht="21" customHeight="1" x14ac:dyDescent="0.5">
      <c r="B295" s="17"/>
      <c r="C295" s="33"/>
      <c r="D295" s="33"/>
      <c r="E295" s="33"/>
    </row>
    <row r="296" spans="2:5" s="18" customFormat="1" ht="21" customHeight="1" x14ac:dyDescent="0.5">
      <c r="B296" s="17"/>
      <c r="C296" s="33"/>
      <c r="D296" s="33"/>
      <c r="E296" s="33"/>
    </row>
    <row r="297" spans="2:5" s="18" customFormat="1" ht="21" customHeight="1" x14ac:dyDescent="0.5">
      <c r="B297" s="17"/>
      <c r="C297" s="33"/>
      <c r="D297" s="33"/>
      <c r="E297" s="33"/>
    </row>
    <row r="298" spans="2:5" s="18" customFormat="1" ht="21" customHeight="1" x14ac:dyDescent="0.5">
      <c r="B298" s="17"/>
      <c r="C298" s="33"/>
      <c r="D298" s="33"/>
      <c r="E298" s="33"/>
    </row>
    <row r="299" spans="2:5" s="18" customFormat="1" ht="21" customHeight="1" x14ac:dyDescent="0.5">
      <c r="B299" s="17"/>
      <c r="C299" s="33"/>
      <c r="D299" s="33"/>
      <c r="E299" s="33"/>
    </row>
    <row r="300" spans="2:5" s="18" customFormat="1" ht="21" customHeight="1" x14ac:dyDescent="0.5">
      <c r="B300" s="17"/>
      <c r="C300" s="33"/>
      <c r="D300" s="33"/>
      <c r="E300" s="33"/>
    </row>
    <row r="301" spans="2:5" s="18" customFormat="1" ht="21" customHeight="1" x14ac:dyDescent="0.5">
      <c r="B301" s="17"/>
      <c r="C301" s="33"/>
      <c r="D301" s="33"/>
      <c r="E301" s="33"/>
    </row>
    <row r="302" spans="2:5" s="18" customFormat="1" ht="21" customHeight="1" x14ac:dyDescent="0.5">
      <c r="B302" s="17"/>
      <c r="C302" s="33"/>
      <c r="D302" s="33"/>
      <c r="E302" s="33"/>
    </row>
    <row r="303" spans="2:5" s="18" customFormat="1" ht="21" customHeight="1" x14ac:dyDescent="0.5">
      <c r="B303" s="17"/>
      <c r="C303" s="33"/>
      <c r="D303" s="33"/>
      <c r="E303" s="33"/>
    </row>
    <row r="304" spans="2:5" s="18" customFormat="1" ht="21" customHeight="1" x14ac:dyDescent="0.5">
      <c r="B304" s="17"/>
      <c r="C304" s="33"/>
      <c r="D304" s="33"/>
      <c r="E304" s="33"/>
    </row>
    <row r="305" spans="2:5" s="18" customFormat="1" ht="21" customHeight="1" x14ac:dyDescent="0.5">
      <c r="B305" s="17"/>
      <c r="C305" s="33"/>
      <c r="D305" s="33"/>
      <c r="E305" s="33"/>
    </row>
    <row r="306" spans="2:5" s="18" customFormat="1" ht="21" customHeight="1" x14ac:dyDescent="0.5">
      <c r="B306" s="17"/>
      <c r="C306" s="33"/>
      <c r="D306" s="33"/>
      <c r="E306" s="33"/>
    </row>
    <row r="307" spans="2:5" s="18" customFormat="1" ht="21" customHeight="1" x14ac:dyDescent="0.5">
      <c r="B307" s="17"/>
      <c r="C307" s="33"/>
      <c r="D307" s="33"/>
      <c r="E307" s="33"/>
    </row>
    <row r="308" spans="2:5" s="18" customFormat="1" ht="21" customHeight="1" x14ac:dyDescent="0.5">
      <c r="B308" s="17"/>
      <c r="C308" s="33"/>
      <c r="D308" s="33"/>
      <c r="E308" s="33"/>
    </row>
    <row r="309" spans="2:5" s="18" customFormat="1" ht="21" customHeight="1" x14ac:dyDescent="0.5">
      <c r="B309" s="17"/>
      <c r="C309" s="33"/>
      <c r="D309" s="33"/>
      <c r="E309" s="33"/>
    </row>
    <row r="310" spans="2:5" s="18" customFormat="1" ht="21" customHeight="1" x14ac:dyDescent="0.5">
      <c r="B310" s="17"/>
      <c r="C310" s="33"/>
      <c r="D310" s="33"/>
      <c r="E310" s="33"/>
    </row>
    <row r="311" spans="2:5" s="18" customFormat="1" ht="21" customHeight="1" x14ac:dyDescent="0.5">
      <c r="B311" s="17"/>
      <c r="C311" s="33"/>
      <c r="D311" s="33"/>
      <c r="E311" s="33"/>
    </row>
    <row r="312" spans="2:5" s="18" customFormat="1" ht="21" customHeight="1" x14ac:dyDescent="0.5">
      <c r="B312" s="17"/>
      <c r="C312" s="33"/>
      <c r="D312" s="33"/>
      <c r="E312" s="33"/>
    </row>
    <row r="313" spans="2:5" s="18" customFormat="1" ht="21" customHeight="1" x14ac:dyDescent="0.5">
      <c r="B313" s="17"/>
      <c r="C313" s="33"/>
      <c r="D313" s="33"/>
      <c r="E313" s="33"/>
    </row>
    <row r="314" spans="2:5" s="18" customFormat="1" ht="21" customHeight="1" x14ac:dyDescent="0.5">
      <c r="B314" s="17"/>
      <c r="C314" s="33"/>
      <c r="D314" s="33"/>
      <c r="E314" s="33"/>
    </row>
    <row r="315" spans="2:5" s="18" customFormat="1" ht="21" customHeight="1" x14ac:dyDescent="0.5">
      <c r="B315" s="17"/>
      <c r="C315" s="33"/>
      <c r="D315" s="33"/>
      <c r="E315" s="33"/>
    </row>
    <row r="316" spans="2:5" s="18" customFormat="1" ht="21" customHeight="1" x14ac:dyDescent="0.5">
      <c r="B316" s="17"/>
      <c r="C316" s="33"/>
      <c r="D316" s="33"/>
      <c r="E316" s="33"/>
    </row>
    <row r="317" spans="2:5" s="18" customFormat="1" ht="21" customHeight="1" x14ac:dyDescent="0.5">
      <c r="B317" s="17"/>
      <c r="C317" s="33"/>
      <c r="D317" s="33"/>
      <c r="E317" s="33"/>
    </row>
    <row r="318" spans="2:5" s="18" customFormat="1" ht="21" customHeight="1" x14ac:dyDescent="0.5">
      <c r="B318" s="17"/>
      <c r="C318" s="33"/>
      <c r="D318" s="33"/>
      <c r="E318" s="33"/>
    </row>
    <row r="319" spans="2:5" s="18" customFormat="1" ht="21" customHeight="1" x14ac:dyDescent="0.5">
      <c r="B319" s="17"/>
      <c r="C319" s="33"/>
      <c r="D319" s="33"/>
      <c r="E319" s="33"/>
    </row>
    <row r="320" spans="2:5" s="18" customFormat="1" ht="21" customHeight="1" x14ac:dyDescent="0.5">
      <c r="B320" s="17"/>
      <c r="C320" s="33"/>
      <c r="D320" s="33"/>
      <c r="E320" s="33"/>
    </row>
    <row r="321" spans="2:5" s="18" customFormat="1" ht="21" customHeight="1" x14ac:dyDescent="0.5">
      <c r="B321" s="17"/>
      <c r="C321" s="33"/>
      <c r="D321" s="33"/>
      <c r="E321" s="33"/>
    </row>
    <row r="322" spans="2:5" s="18" customFormat="1" ht="21" customHeight="1" x14ac:dyDescent="0.5">
      <c r="B322" s="17"/>
      <c r="C322" s="33"/>
      <c r="D322" s="33"/>
      <c r="E322" s="33"/>
    </row>
    <row r="323" spans="2:5" s="18" customFormat="1" ht="21" customHeight="1" x14ac:dyDescent="0.5">
      <c r="B323" s="17"/>
      <c r="C323" s="33"/>
      <c r="D323" s="33"/>
      <c r="E323" s="33"/>
    </row>
    <row r="324" spans="2:5" s="18" customFormat="1" ht="21" customHeight="1" x14ac:dyDescent="0.5">
      <c r="B324" s="17"/>
      <c r="C324" s="33"/>
      <c r="D324" s="33"/>
      <c r="E324" s="33"/>
    </row>
    <row r="325" spans="2:5" s="18" customFormat="1" ht="21" customHeight="1" x14ac:dyDescent="0.5">
      <c r="B325" s="17"/>
      <c r="C325" s="33"/>
      <c r="D325" s="33"/>
      <c r="E325" s="33"/>
    </row>
    <row r="326" spans="2:5" s="18" customFormat="1" ht="21" customHeight="1" x14ac:dyDescent="0.5">
      <c r="B326" s="17"/>
      <c r="C326" s="33"/>
      <c r="D326" s="33"/>
      <c r="E326" s="33"/>
    </row>
    <row r="327" spans="2:5" s="18" customFormat="1" ht="21" customHeight="1" x14ac:dyDescent="0.5">
      <c r="B327" s="17"/>
      <c r="C327" s="33"/>
      <c r="D327" s="33"/>
      <c r="E327" s="33"/>
    </row>
    <row r="328" spans="2:5" s="18" customFormat="1" ht="21" customHeight="1" x14ac:dyDescent="0.5">
      <c r="B328" s="17"/>
      <c r="C328" s="33"/>
      <c r="D328" s="33"/>
      <c r="E328" s="33"/>
    </row>
    <row r="329" spans="2:5" s="18" customFormat="1" ht="21" customHeight="1" x14ac:dyDescent="0.5">
      <c r="B329" s="17"/>
      <c r="C329" s="33"/>
      <c r="D329" s="33"/>
      <c r="E329" s="33"/>
    </row>
    <row r="330" spans="2:5" s="18" customFormat="1" ht="21" customHeight="1" x14ac:dyDescent="0.5">
      <c r="B330" s="17"/>
      <c r="C330" s="33"/>
      <c r="D330" s="33"/>
      <c r="E330" s="33"/>
    </row>
    <row r="331" spans="2:5" s="18" customFormat="1" ht="21" customHeight="1" x14ac:dyDescent="0.5">
      <c r="B331" s="17"/>
      <c r="C331" s="33"/>
      <c r="D331" s="33"/>
      <c r="E331" s="33"/>
    </row>
    <row r="332" spans="2:5" s="18" customFormat="1" ht="21" customHeight="1" x14ac:dyDescent="0.5">
      <c r="B332" s="17"/>
      <c r="C332" s="33"/>
      <c r="D332" s="33"/>
      <c r="E332" s="33"/>
    </row>
    <row r="333" spans="2:5" s="18" customFormat="1" ht="21" customHeight="1" x14ac:dyDescent="0.5">
      <c r="B333" s="17"/>
      <c r="C333" s="33"/>
      <c r="D333" s="33"/>
      <c r="E333" s="33"/>
    </row>
    <row r="334" spans="2:5" s="18" customFormat="1" ht="21" customHeight="1" x14ac:dyDescent="0.5">
      <c r="B334" s="17"/>
      <c r="C334" s="33"/>
      <c r="D334" s="33"/>
      <c r="E334" s="33"/>
    </row>
    <row r="335" spans="2:5" s="18" customFormat="1" ht="21" customHeight="1" x14ac:dyDescent="0.5">
      <c r="B335" s="17"/>
      <c r="C335" s="33"/>
      <c r="D335" s="33"/>
      <c r="E335" s="33"/>
    </row>
    <row r="336" spans="2:5" s="18" customFormat="1" ht="21" customHeight="1" x14ac:dyDescent="0.5">
      <c r="B336" s="17"/>
      <c r="C336" s="33"/>
      <c r="D336" s="33"/>
      <c r="E336" s="33"/>
    </row>
    <row r="337" spans="2:5" s="18" customFormat="1" ht="21" customHeight="1" x14ac:dyDescent="0.5">
      <c r="B337" s="17"/>
      <c r="C337" s="33"/>
      <c r="D337" s="33"/>
      <c r="E337" s="33"/>
    </row>
    <row r="338" spans="2:5" s="18" customFormat="1" ht="21" customHeight="1" x14ac:dyDescent="0.5">
      <c r="B338" s="17"/>
      <c r="C338" s="33"/>
      <c r="D338" s="33"/>
      <c r="E338" s="33"/>
    </row>
    <row r="339" spans="2:5" s="18" customFormat="1" ht="21" customHeight="1" x14ac:dyDescent="0.5">
      <c r="B339" s="17"/>
      <c r="C339" s="33"/>
      <c r="D339" s="33"/>
      <c r="E339" s="33"/>
    </row>
    <row r="340" spans="2:5" s="18" customFormat="1" ht="21" customHeight="1" x14ac:dyDescent="0.5">
      <c r="B340" s="17"/>
      <c r="C340" s="33"/>
      <c r="D340" s="33"/>
      <c r="E340" s="33"/>
    </row>
    <row r="341" spans="2:5" s="18" customFormat="1" ht="21" customHeight="1" x14ac:dyDescent="0.5">
      <c r="B341" s="17"/>
      <c r="C341" s="33"/>
      <c r="D341" s="33"/>
      <c r="E341" s="33"/>
    </row>
    <row r="342" spans="2:5" s="18" customFormat="1" ht="21" customHeight="1" x14ac:dyDescent="0.5">
      <c r="B342" s="17"/>
      <c r="C342" s="33"/>
      <c r="D342" s="33"/>
      <c r="E342" s="33"/>
    </row>
    <row r="343" spans="2:5" s="18" customFormat="1" ht="21" customHeight="1" x14ac:dyDescent="0.5">
      <c r="B343" s="17"/>
      <c r="C343" s="33"/>
      <c r="D343" s="33"/>
      <c r="E343" s="33"/>
    </row>
    <row r="344" spans="2:5" s="18" customFormat="1" ht="21" customHeight="1" x14ac:dyDescent="0.5">
      <c r="B344" s="17"/>
      <c r="C344" s="33"/>
      <c r="D344" s="33"/>
      <c r="E344" s="33"/>
    </row>
    <row r="345" spans="2:5" s="18" customFormat="1" ht="21" customHeight="1" x14ac:dyDescent="0.5">
      <c r="B345" s="17"/>
      <c r="C345" s="33"/>
      <c r="D345" s="33"/>
      <c r="E345" s="33"/>
    </row>
    <row r="346" spans="2:5" s="18" customFormat="1" ht="21" customHeight="1" x14ac:dyDescent="0.5">
      <c r="B346" s="17"/>
      <c r="C346" s="33"/>
      <c r="D346" s="33"/>
      <c r="E346" s="33"/>
    </row>
    <row r="347" spans="2:5" s="18" customFormat="1" ht="21" customHeight="1" x14ac:dyDescent="0.5">
      <c r="B347" s="17"/>
      <c r="C347" s="33"/>
      <c r="D347" s="33"/>
      <c r="E347" s="33"/>
    </row>
    <row r="348" spans="2:5" s="18" customFormat="1" ht="21" customHeight="1" x14ac:dyDescent="0.5">
      <c r="B348" s="17"/>
      <c r="C348" s="33"/>
      <c r="D348" s="33"/>
      <c r="E348" s="33"/>
    </row>
    <row r="349" spans="2:5" s="18" customFormat="1" ht="21" customHeight="1" x14ac:dyDescent="0.5">
      <c r="B349" s="17"/>
      <c r="C349" s="33"/>
      <c r="D349" s="33"/>
      <c r="E349" s="33"/>
    </row>
    <row r="350" spans="2:5" s="18" customFormat="1" ht="21" customHeight="1" x14ac:dyDescent="0.5">
      <c r="B350" s="17"/>
      <c r="C350" s="33"/>
      <c r="D350" s="33"/>
      <c r="E350" s="33"/>
    </row>
    <row r="351" spans="2:5" s="18" customFormat="1" ht="21" customHeight="1" x14ac:dyDescent="0.5">
      <c r="B351" s="17"/>
      <c r="C351" s="33"/>
      <c r="D351" s="33"/>
      <c r="E351" s="33"/>
    </row>
    <row r="352" spans="2:5" s="18" customFormat="1" ht="21" customHeight="1" x14ac:dyDescent="0.5">
      <c r="B352" s="17"/>
      <c r="C352" s="33"/>
      <c r="D352" s="33"/>
      <c r="E352" s="33"/>
    </row>
    <row r="353" spans="2:5" s="18" customFormat="1" ht="21" customHeight="1" x14ac:dyDescent="0.5">
      <c r="B353" s="17"/>
      <c r="C353" s="33"/>
      <c r="D353" s="33"/>
      <c r="E353" s="33"/>
    </row>
    <row r="354" spans="2:5" s="18" customFormat="1" ht="21" customHeight="1" x14ac:dyDescent="0.5">
      <c r="B354" s="17"/>
      <c r="C354" s="33"/>
      <c r="D354" s="33"/>
      <c r="E354" s="33"/>
    </row>
    <row r="355" spans="2:5" s="18" customFormat="1" ht="21" customHeight="1" x14ac:dyDescent="0.5">
      <c r="B355" s="17"/>
      <c r="C355" s="33"/>
      <c r="D355" s="33"/>
      <c r="E355" s="33"/>
    </row>
    <row r="356" spans="2:5" s="18" customFormat="1" ht="21" customHeight="1" x14ac:dyDescent="0.5">
      <c r="B356" s="17"/>
      <c r="C356" s="33"/>
      <c r="D356" s="33"/>
      <c r="E356" s="33"/>
    </row>
    <row r="357" spans="2:5" s="18" customFormat="1" ht="21" customHeight="1" x14ac:dyDescent="0.5">
      <c r="B357" s="17"/>
      <c r="C357" s="33"/>
      <c r="D357" s="33"/>
      <c r="E357" s="33"/>
    </row>
    <row r="358" spans="2:5" s="18" customFormat="1" ht="21" customHeight="1" x14ac:dyDescent="0.5">
      <c r="B358" s="17"/>
      <c r="C358" s="33"/>
      <c r="D358" s="33"/>
      <c r="E358" s="33"/>
    </row>
    <row r="359" spans="2:5" s="18" customFormat="1" ht="21" customHeight="1" x14ac:dyDescent="0.5">
      <c r="B359" s="17"/>
      <c r="C359" s="33"/>
      <c r="D359" s="33"/>
      <c r="E359" s="33"/>
    </row>
    <row r="360" spans="2:5" s="18" customFormat="1" ht="21" customHeight="1" x14ac:dyDescent="0.5">
      <c r="B360" s="17"/>
      <c r="C360" s="33"/>
      <c r="D360" s="33"/>
      <c r="E360" s="33"/>
    </row>
    <row r="361" spans="2:5" s="18" customFormat="1" ht="21" customHeight="1" x14ac:dyDescent="0.5">
      <c r="B361" s="17"/>
      <c r="C361" s="33"/>
      <c r="D361" s="33"/>
      <c r="E361" s="33"/>
    </row>
    <row r="362" spans="2:5" s="18" customFormat="1" ht="21" customHeight="1" x14ac:dyDescent="0.5">
      <c r="B362" s="17"/>
      <c r="C362" s="33"/>
      <c r="D362" s="33"/>
      <c r="E362" s="33"/>
    </row>
    <row r="363" spans="2:5" s="18" customFormat="1" ht="21" customHeight="1" x14ac:dyDescent="0.5">
      <c r="B363" s="17"/>
      <c r="C363" s="33"/>
      <c r="D363" s="33"/>
      <c r="E363" s="33"/>
    </row>
    <row r="364" spans="2:5" s="18" customFormat="1" ht="21" customHeight="1" x14ac:dyDescent="0.5">
      <c r="B364" s="17"/>
      <c r="C364" s="33"/>
      <c r="D364" s="33"/>
      <c r="E364" s="33"/>
    </row>
    <row r="365" spans="2:5" s="18" customFormat="1" ht="21" customHeight="1" x14ac:dyDescent="0.5">
      <c r="B365" s="17"/>
      <c r="C365" s="33"/>
      <c r="D365" s="33"/>
      <c r="E365" s="33"/>
    </row>
    <row r="366" spans="2:5" s="18" customFormat="1" ht="21" customHeight="1" x14ac:dyDescent="0.5">
      <c r="B366" s="17"/>
      <c r="C366" s="33"/>
      <c r="D366" s="33"/>
      <c r="E366" s="33"/>
    </row>
    <row r="367" spans="2:5" s="18" customFormat="1" ht="21" customHeight="1" x14ac:dyDescent="0.5">
      <c r="B367" s="17"/>
      <c r="C367" s="33"/>
      <c r="D367" s="33"/>
      <c r="E367" s="33"/>
    </row>
    <row r="368" spans="2:5" s="18" customFormat="1" ht="21" customHeight="1" x14ac:dyDescent="0.5">
      <c r="B368" s="17"/>
      <c r="C368" s="33"/>
      <c r="D368" s="33"/>
      <c r="E368" s="33"/>
    </row>
    <row r="369" spans="2:5" s="18" customFormat="1" ht="21" customHeight="1" x14ac:dyDescent="0.5">
      <c r="B369" s="17"/>
      <c r="C369" s="33"/>
      <c r="D369" s="33"/>
      <c r="E369" s="33"/>
    </row>
    <row r="370" spans="2:5" s="18" customFormat="1" ht="21" customHeight="1" x14ac:dyDescent="0.5">
      <c r="B370" s="17"/>
      <c r="C370" s="33"/>
      <c r="D370" s="33"/>
      <c r="E370" s="33"/>
    </row>
    <row r="371" spans="2:5" s="18" customFormat="1" ht="21" customHeight="1" x14ac:dyDescent="0.5">
      <c r="B371" s="17"/>
      <c r="C371" s="33"/>
      <c r="D371" s="33"/>
      <c r="E371" s="33"/>
    </row>
    <row r="372" spans="2:5" s="18" customFormat="1" ht="21" customHeight="1" x14ac:dyDescent="0.5">
      <c r="B372" s="17"/>
      <c r="C372" s="33"/>
      <c r="D372" s="33"/>
      <c r="E372" s="33"/>
    </row>
    <row r="373" spans="2:5" s="18" customFormat="1" ht="21" customHeight="1" x14ac:dyDescent="0.5">
      <c r="B373" s="17"/>
      <c r="C373" s="33"/>
      <c r="D373" s="33"/>
      <c r="E373" s="33"/>
    </row>
    <row r="374" spans="2:5" s="18" customFormat="1" ht="21" customHeight="1" x14ac:dyDescent="0.5">
      <c r="B374" s="17"/>
      <c r="C374" s="33"/>
      <c r="D374" s="33"/>
      <c r="E374" s="33"/>
    </row>
    <row r="375" spans="2:5" s="18" customFormat="1" ht="21" customHeight="1" x14ac:dyDescent="0.5">
      <c r="B375" s="17"/>
      <c r="C375" s="33"/>
      <c r="D375" s="33"/>
      <c r="E375" s="33"/>
    </row>
    <row r="376" spans="2:5" s="18" customFormat="1" ht="21" customHeight="1" x14ac:dyDescent="0.5">
      <c r="B376" s="17"/>
      <c r="C376" s="33"/>
      <c r="D376" s="33"/>
      <c r="E376" s="33"/>
    </row>
    <row r="377" spans="2:5" s="18" customFormat="1" ht="21" customHeight="1" x14ac:dyDescent="0.5">
      <c r="B377" s="17"/>
      <c r="C377" s="33"/>
      <c r="D377" s="33"/>
      <c r="E377" s="33"/>
    </row>
    <row r="378" spans="2:5" s="18" customFormat="1" ht="21" customHeight="1" x14ac:dyDescent="0.5">
      <c r="B378" s="17"/>
      <c r="C378" s="33"/>
      <c r="D378" s="33"/>
      <c r="E378" s="33"/>
    </row>
    <row r="379" spans="2:5" s="18" customFormat="1" ht="21" customHeight="1" x14ac:dyDescent="0.5">
      <c r="B379" s="17"/>
      <c r="C379" s="33"/>
      <c r="D379" s="33"/>
      <c r="E379" s="33"/>
    </row>
    <row r="380" spans="2:5" s="18" customFormat="1" ht="21" customHeight="1" x14ac:dyDescent="0.5">
      <c r="B380" s="17"/>
      <c r="C380" s="33"/>
      <c r="D380" s="33"/>
      <c r="E380" s="33"/>
    </row>
    <row r="381" spans="2:5" s="18" customFormat="1" ht="21" customHeight="1" x14ac:dyDescent="0.5">
      <c r="B381" s="17"/>
      <c r="C381" s="33"/>
      <c r="D381" s="33"/>
      <c r="E381" s="33"/>
    </row>
    <row r="382" spans="2:5" s="18" customFormat="1" ht="21" customHeight="1" x14ac:dyDescent="0.5">
      <c r="B382" s="17"/>
      <c r="C382" s="33"/>
      <c r="D382" s="33"/>
      <c r="E382" s="33"/>
    </row>
    <row r="383" spans="2:5" s="18" customFormat="1" ht="21" customHeight="1" x14ac:dyDescent="0.5">
      <c r="B383" s="17"/>
      <c r="C383" s="33"/>
      <c r="D383" s="33"/>
      <c r="E383" s="33"/>
    </row>
    <row r="384" spans="2:5" s="18" customFormat="1" ht="21" customHeight="1" x14ac:dyDescent="0.5">
      <c r="B384" s="17"/>
      <c r="C384" s="33"/>
      <c r="D384" s="33"/>
      <c r="E384" s="33"/>
    </row>
    <row r="385" spans="2:5" s="18" customFormat="1" ht="21" customHeight="1" x14ac:dyDescent="0.5">
      <c r="B385" s="17"/>
      <c r="C385" s="33"/>
      <c r="D385" s="33"/>
      <c r="E385" s="33"/>
    </row>
    <row r="386" spans="2:5" s="18" customFormat="1" ht="21" customHeight="1" x14ac:dyDescent="0.5">
      <c r="B386" s="17"/>
      <c r="C386" s="33"/>
      <c r="D386" s="33"/>
      <c r="E386" s="33"/>
    </row>
    <row r="387" spans="2:5" s="18" customFormat="1" ht="21" customHeight="1" x14ac:dyDescent="0.5">
      <c r="B387" s="17"/>
      <c r="C387" s="33"/>
      <c r="D387" s="33"/>
      <c r="E387" s="33"/>
    </row>
    <row r="388" spans="2:5" s="18" customFormat="1" ht="21" customHeight="1" x14ac:dyDescent="0.5">
      <c r="B388" s="17"/>
      <c r="C388" s="33"/>
      <c r="D388" s="33"/>
      <c r="E388" s="33"/>
    </row>
    <row r="389" spans="2:5" s="18" customFormat="1" ht="21" customHeight="1" x14ac:dyDescent="0.5">
      <c r="B389" s="17"/>
      <c r="C389" s="33"/>
      <c r="D389" s="33"/>
      <c r="E389" s="33"/>
    </row>
    <row r="390" spans="2:5" s="18" customFormat="1" ht="21" customHeight="1" x14ac:dyDescent="0.5">
      <c r="B390" s="17"/>
      <c r="C390" s="33"/>
      <c r="D390" s="33"/>
      <c r="E390" s="33"/>
    </row>
    <row r="391" spans="2:5" s="18" customFormat="1" ht="21" customHeight="1" x14ac:dyDescent="0.5">
      <c r="B391" s="17"/>
      <c r="C391" s="33"/>
      <c r="D391" s="33"/>
      <c r="E391" s="33"/>
    </row>
    <row r="392" spans="2:5" s="18" customFormat="1" ht="21" customHeight="1" x14ac:dyDescent="0.5">
      <c r="B392" s="17"/>
      <c r="C392" s="33"/>
      <c r="D392" s="33"/>
      <c r="E392" s="33"/>
    </row>
    <row r="393" spans="2:5" s="18" customFormat="1" ht="21" customHeight="1" x14ac:dyDescent="0.5">
      <c r="B393" s="17"/>
      <c r="C393" s="33"/>
      <c r="D393" s="33"/>
      <c r="E393" s="33"/>
    </row>
    <row r="394" spans="2:5" s="18" customFormat="1" ht="21" customHeight="1" x14ac:dyDescent="0.5">
      <c r="B394" s="17"/>
      <c r="C394" s="33"/>
      <c r="D394" s="33"/>
      <c r="E394" s="33"/>
    </row>
    <row r="395" spans="2:5" s="18" customFormat="1" ht="21" customHeight="1" x14ac:dyDescent="0.5">
      <c r="B395" s="17"/>
      <c r="C395" s="33"/>
      <c r="D395" s="33"/>
      <c r="E395" s="33"/>
    </row>
    <row r="396" spans="2:5" s="18" customFormat="1" ht="21" customHeight="1" x14ac:dyDescent="0.5">
      <c r="B396" s="17"/>
      <c r="C396" s="33"/>
      <c r="D396" s="33"/>
      <c r="E396" s="33"/>
    </row>
    <row r="397" spans="2:5" s="18" customFormat="1" ht="21" customHeight="1" x14ac:dyDescent="0.5">
      <c r="B397" s="17"/>
      <c r="C397" s="33"/>
      <c r="D397" s="33"/>
      <c r="E397" s="33"/>
    </row>
    <row r="398" spans="2:5" s="18" customFormat="1" ht="21" customHeight="1" x14ac:dyDescent="0.5">
      <c r="B398" s="17"/>
      <c r="C398" s="33"/>
      <c r="D398" s="33"/>
      <c r="E398" s="33"/>
    </row>
    <row r="399" spans="2:5" s="18" customFormat="1" ht="21" customHeight="1" x14ac:dyDescent="0.5">
      <c r="B399" s="17"/>
      <c r="C399" s="33"/>
      <c r="D399" s="33"/>
      <c r="E399" s="33"/>
    </row>
    <row r="400" spans="2:5" s="18" customFormat="1" ht="21" customHeight="1" x14ac:dyDescent="0.5">
      <c r="B400" s="17"/>
      <c r="C400" s="33"/>
      <c r="D400" s="33"/>
      <c r="E400" s="33"/>
    </row>
    <row r="401" spans="2:5" s="18" customFormat="1" ht="21" customHeight="1" x14ac:dyDescent="0.5">
      <c r="B401" s="17"/>
      <c r="C401" s="33"/>
      <c r="D401" s="33"/>
      <c r="E401" s="33"/>
    </row>
    <row r="402" spans="2:5" s="18" customFormat="1" ht="21" customHeight="1" x14ac:dyDescent="0.5">
      <c r="B402" s="17"/>
      <c r="C402" s="33"/>
      <c r="D402" s="33"/>
      <c r="E402" s="33"/>
    </row>
    <row r="403" spans="2:5" s="18" customFormat="1" ht="21" customHeight="1" x14ac:dyDescent="0.5">
      <c r="B403" s="17"/>
      <c r="C403" s="33"/>
      <c r="D403" s="33"/>
      <c r="E403" s="33"/>
    </row>
    <row r="404" spans="2:5" s="18" customFormat="1" ht="21" customHeight="1" x14ac:dyDescent="0.5">
      <c r="B404" s="17"/>
      <c r="C404" s="33"/>
      <c r="D404" s="33"/>
      <c r="E404" s="33"/>
    </row>
    <row r="405" spans="2:5" s="18" customFormat="1" ht="21" customHeight="1" x14ac:dyDescent="0.5">
      <c r="B405" s="17"/>
      <c r="C405" s="33"/>
      <c r="D405" s="33"/>
      <c r="E405" s="33"/>
    </row>
    <row r="406" spans="2:5" s="18" customFormat="1" ht="21" customHeight="1" x14ac:dyDescent="0.5">
      <c r="B406" s="17"/>
      <c r="C406" s="33"/>
      <c r="D406" s="33"/>
      <c r="E406" s="33"/>
    </row>
    <row r="407" spans="2:5" s="18" customFormat="1" ht="21" customHeight="1" x14ac:dyDescent="0.5">
      <c r="B407" s="17"/>
      <c r="C407" s="33"/>
      <c r="D407" s="33"/>
      <c r="E407" s="33"/>
    </row>
    <row r="408" spans="2:5" s="18" customFormat="1" ht="21" customHeight="1" x14ac:dyDescent="0.5">
      <c r="B408" s="17"/>
      <c r="C408" s="33"/>
      <c r="D408" s="33"/>
      <c r="E408" s="33"/>
    </row>
    <row r="409" spans="2:5" s="18" customFormat="1" ht="21" customHeight="1" x14ac:dyDescent="0.5">
      <c r="B409" s="17"/>
      <c r="C409" s="33"/>
      <c r="D409" s="33"/>
      <c r="E409" s="33"/>
    </row>
    <row r="410" spans="2:5" s="18" customFormat="1" ht="21" customHeight="1" x14ac:dyDescent="0.5">
      <c r="B410" s="17"/>
      <c r="C410" s="33"/>
      <c r="D410" s="33"/>
      <c r="E410" s="33"/>
    </row>
    <row r="411" spans="2:5" s="18" customFormat="1" ht="21" customHeight="1" x14ac:dyDescent="0.5">
      <c r="B411" s="17"/>
      <c r="C411" s="33"/>
      <c r="D411" s="33"/>
      <c r="E411" s="33"/>
    </row>
    <row r="412" spans="2:5" s="18" customFormat="1" ht="21" customHeight="1" x14ac:dyDescent="0.5">
      <c r="B412" s="17"/>
      <c r="C412" s="33"/>
      <c r="D412" s="33"/>
      <c r="E412" s="33"/>
    </row>
    <row r="413" spans="2:5" s="18" customFormat="1" ht="21" customHeight="1" x14ac:dyDescent="0.5">
      <c r="B413" s="17"/>
      <c r="C413" s="33"/>
      <c r="D413" s="33"/>
      <c r="E413" s="33"/>
    </row>
    <row r="414" spans="2:5" s="18" customFormat="1" ht="21" customHeight="1" x14ac:dyDescent="0.5">
      <c r="B414" s="17"/>
      <c r="C414" s="33"/>
      <c r="D414" s="33"/>
      <c r="E414" s="33"/>
    </row>
    <row r="415" spans="2:5" s="18" customFormat="1" ht="21" customHeight="1" x14ac:dyDescent="0.5">
      <c r="B415" s="17"/>
      <c r="C415" s="33"/>
      <c r="D415" s="33"/>
      <c r="E415" s="33"/>
    </row>
    <row r="416" spans="2:5" s="18" customFormat="1" ht="21" customHeight="1" x14ac:dyDescent="0.5">
      <c r="B416" s="17"/>
      <c r="C416" s="33"/>
      <c r="D416" s="33"/>
      <c r="E416" s="33"/>
    </row>
    <row r="417" spans="2:5" s="18" customFormat="1" ht="21" customHeight="1" x14ac:dyDescent="0.5">
      <c r="B417" s="17"/>
      <c r="C417" s="33"/>
      <c r="D417" s="33"/>
      <c r="E417" s="33"/>
    </row>
    <row r="418" spans="2:5" s="18" customFormat="1" ht="21" customHeight="1" x14ac:dyDescent="0.5">
      <c r="B418" s="17"/>
      <c r="C418" s="33"/>
      <c r="D418" s="33"/>
      <c r="E418" s="33"/>
    </row>
    <row r="419" spans="2:5" s="18" customFormat="1" ht="21" customHeight="1" x14ac:dyDescent="0.5">
      <c r="B419" s="17"/>
      <c r="C419" s="33"/>
      <c r="D419" s="33"/>
      <c r="E419" s="33"/>
    </row>
    <row r="420" spans="2:5" s="18" customFormat="1" ht="21" customHeight="1" x14ac:dyDescent="0.5">
      <c r="B420" s="17"/>
      <c r="C420" s="33"/>
      <c r="D420" s="33"/>
      <c r="E420" s="33"/>
    </row>
    <row r="421" spans="2:5" s="18" customFormat="1" ht="21" customHeight="1" x14ac:dyDescent="0.5">
      <c r="B421" s="17"/>
      <c r="C421" s="33"/>
      <c r="D421" s="33"/>
      <c r="E421" s="33"/>
    </row>
    <row r="422" spans="2:5" s="18" customFormat="1" ht="21" customHeight="1" x14ac:dyDescent="0.5">
      <c r="B422" s="17"/>
      <c r="C422" s="33"/>
      <c r="D422" s="33"/>
      <c r="E422" s="33"/>
    </row>
    <row r="423" spans="2:5" s="18" customFormat="1" ht="21" customHeight="1" x14ac:dyDescent="0.5">
      <c r="B423" s="17"/>
      <c r="C423" s="33"/>
      <c r="D423" s="33"/>
      <c r="E423" s="33"/>
    </row>
    <row r="424" spans="2:5" s="18" customFormat="1" ht="21" customHeight="1" x14ac:dyDescent="0.5">
      <c r="B424" s="17"/>
      <c r="C424" s="33"/>
      <c r="D424" s="33"/>
      <c r="E424" s="33"/>
    </row>
    <row r="425" spans="2:5" s="18" customFormat="1" ht="21" customHeight="1" x14ac:dyDescent="0.5">
      <c r="B425" s="17"/>
      <c r="C425" s="33"/>
      <c r="D425" s="33"/>
      <c r="E425" s="33"/>
    </row>
    <row r="426" spans="2:5" s="18" customFormat="1" ht="21" customHeight="1" x14ac:dyDescent="0.5">
      <c r="B426" s="17"/>
      <c r="C426" s="33"/>
      <c r="D426" s="33"/>
      <c r="E426" s="33"/>
    </row>
    <row r="427" spans="2:5" s="18" customFormat="1" ht="21" customHeight="1" x14ac:dyDescent="0.5">
      <c r="B427" s="17"/>
      <c r="C427" s="33"/>
      <c r="D427" s="33"/>
      <c r="E427" s="33"/>
    </row>
    <row r="428" spans="2:5" s="18" customFormat="1" ht="21" customHeight="1" x14ac:dyDescent="0.5">
      <c r="B428" s="17"/>
      <c r="C428" s="33"/>
      <c r="D428" s="33"/>
      <c r="E428" s="33"/>
    </row>
    <row r="429" spans="2:5" s="18" customFormat="1" ht="21" customHeight="1" x14ac:dyDescent="0.5">
      <c r="B429" s="17"/>
      <c r="C429" s="33"/>
      <c r="D429" s="33"/>
      <c r="E429" s="33"/>
    </row>
    <row r="430" spans="2:5" s="18" customFormat="1" ht="21" customHeight="1" x14ac:dyDescent="0.5">
      <c r="B430" s="17"/>
      <c r="C430" s="33"/>
      <c r="D430" s="33"/>
      <c r="E430" s="33"/>
    </row>
    <row r="431" spans="2:5" s="18" customFormat="1" ht="21" customHeight="1" x14ac:dyDescent="0.5">
      <c r="B431" s="17"/>
      <c r="C431" s="33"/>
      <c r="D431" s="33"/>
      <c r="E431" s="33"/>
    </row>
    <row r="432" spans="2:5" s="18" customFormat="1" ht="21" customHeight="1" x14ac:dyDescent="0.5">
      <c r="B432" s="17"/>
      <c r="C432" s="33"/>
      <c r="D432" s="33"/>
      <c r="E432" s="33"/>
    </row>
    <row r="433" spans="2:5" s="18" customFormat="1" ht="21" customHeight="1" x14ac:dyDescent="0.5">
      <c r="B433" s="17"/>
      <c r="C433" s="33"/>
      <c r="D433" s="33"/>
      <c r="E433" s="33"/>
    </row>
    <row r="434" spans="2:5" s="18" customFormat="1" ht="21" customHeight="1" x14ac:dyDescent="0.5">
      <c r="B434" s="17"/>
      <c r="C434" s="33"/>
      <c r="D434" s="33"/>
      <c r="E434" s="33"/>
    </row>
    <row r="435" spans="2:5" s="18" customFormat="1" ht="21" customHeight="1" x14ac:dyDescent="0.5">
      <c r="B435" s="17"/>
      <c r="C435" s="33"/>
      <c r="D435" s="33"/>
      <c r="E435" s="33"/>
    </row>
    <row r="436" spans="2:5" s="18" customFormat="1" ht="21" customHeight="1" x14ac:dyDescent="0.5">
      <c r="B436" s="17"/>
      <c r="C436" s="33"/>
      <c r="D436" s="33"/>
      <c r="E436" s="33"/>
    </row>
    <row r="437" spans="2:5" s="18" customFormat="1" ht="21" customHeight="1" x14ac:dyDescent="0.5">
      <c r="B437" s="17"/>
      <c r="C437" s="33"/>
      <c r="D437" s="33"/>
      <c r="E437" s="33"/>
    </row>
    <row r="438" spans="2:5" s="18" customFormat="1" ht="21" customHeight="1" x14ac:dyDescent="0.5">
      <c r="B438" s="17"/>
      <c r="C438" s="33"/>
      <c r="D438" s="33"/>
      <c r="E438" s="33"/>
    </row>
    <row r="439" spans="2:5" s="18" customFormat="1" ht="21" customHeight="1" x14ac:dyDescent="0.5">
      <c r="B439" s="17"/>
      <c r="C439" s="33"/>
      <c r="D439" s="33"/>
      <c r="E439" s="33"/>
    </row>
    <row r="440" spans="2:5" s="18" customFormat="1" ht="21" customHeight="1" x14ac:dyDescent="0.5">
      <c r="B440" s="17"/>
      <c r="C440" s="33"/>
      <c r="D440" s="33"/>
      <c r="E440" s="33"/>
    </row>
    <row r="441" spans="2:5" s="18" customFormat="1" ht="21" customHeight="1" x14ac:dyDescent="0.5">
      <c r="B441" s="17"/>
      <c r="C441" s="33"/>
      <c r="D441" s="33"/>
      <c r="E441" s="33"/>
    </row>
    <row r="442" spans="2:5" s="18" customFormat="1" ht="21" customHeight="1" x14ac:dyDescent="0.5">
      <c r="B442" s="17"/>
      <c r="C442" s="33"/>
      <c r="D442" s="33"/>
      <c r="E442" s="33"/>
    </row>
    <row r="443" spans="2:5" s="18" customFormat="1" ht="21" customHeight="1" x14ac:dyDescent="0.5">
      <c r="B443" s="17"/>
      <c r="C443" s="33"/>
      <c r="D443" s="33"/>
      <c r="E443" s="33"/>
    </row>
    <row r="444" spans="2:5" s="18" customFormat="1" ht="21" customHeight="1" x14ac:dyDescent="0.5">
      <c r="B444" s="17"/>
      <c r="C444" s="33"/>
      <c r="D444" s="33"/>
      <c r="E444" s="33"/>
    </row>
    <row r="445" spans="2:5" s="18" customFormat="1" ht="21" customHeight="1" x14ac:dyDescent="0.5">
      <c r="B445" s="17"/>
      <c r="C445" s="33"/>
      <c r="D445" s="33"/>
      <c r="E445" s="33"/>
    </row>
    <row r="446" spans="2:5" s="18" customFormat="1" ht="21" customHeight="1" x14ac:dyDescent="0.5">
      <c r="B446" s="17"/>
      <c r="C446" s="33"/>
      <c r="D446" s="33"/>
      <c r="E446" s="33"/>
    </row>
    <row r="447" spans="2:5" s="18" customFormat="1" ht="21" customHeight="1" x14ac:dyDescent="0.5">
      <c r="B447" s="17"/>
      <c r="C447" s="33"/>
      <c r="D447" s="33"/>
      <c r="E447" s="33"/>
    </row>
    <row r="448" spans="2:5" s="18" customFormat="1" ht="21" customHeight="1" x14ac:dyDescent="0.5">
      <c r="B448" s="17"/>
      <c r="C448" s="33"/>
      <c r="D448" s="33"/>
      <c r="E448" s="33"/>
    </row>
    <row r="449" spans="2:5" s="18" customFormat="1" ht="21" customHeight="1" x14ac:dyDescent="0.5">
      <c r="B449" s="17"/>
      <c r="C449" s="33"/>
      <c r="D449" s="33"/>
      <c r="E449" s="33"/>
    </row>
    <row r="450" spans="2:5" s="18" customFormat="1" ht="21" customHeight="1" x14ac:dyDescent="0.5">
      <c r="B450" s="17"/>
      <c r="C450" s="33"/>
      <c r="D450" s="33"/>
      <c r="E450" s="33"/>
    </row>
    <row r="451" spans="2:5" s="18" customFormat="1" ht="21" customHeight="1" x14ac:dyDescent="0.5">
      <c r="B451" s="17"/>
      <c r="C451" s="33"/>
      <c r="D451" s="33"/>
      <c r="E451" s="33"/>
    </row>
    <row r="452" spans="2:5" s="18" customFormat="1" ht="21" customHeight="1" x14ac:dyDescent="0.5">
      <c r="B452" s="17"/>
      <c r="C452" s="33"/>
      <c r="D452" s="33"/>
      <c r="E452" s="33"/>
    </row>
    <row r="453" spans="2:5" s="18" customFormat="1" ht="21" customHeight="1" x14ac:dyDescent="0.5">
      <c r="B453" s="17"/>
      <c r="C453" s="33"/>
      <c r="D453" s="33"/>
      <c r="E453" s="33"/>
    </row>
    <row r="454" spans="2:5" s="18" customFormat="1" ht="21" customHeight="1" x14ac:dyDescent="0.5">
      <c r="B454" s="17"/>
      <c r="C454" s="33"/>
      <c r="D454" s="33"/>
      <c r="E454" s="33"/>
    </row>
    <row r="455" spans="2:5" s="18" customFormat="1" ht="21" customHeight="1" x14ac:dyDescent="0.5">
      <c r="B455" s="17"/>
      <c r="C455" s="33"/>
      <c r="D455" s="33"/>
      <c r="E455" s="33"/>
    </row>
    <row r="456" spans="2:5" s="18" customFormat="1" ht="21" customHeight="1" x14ac:dyDescent="0.5">
      <c r="B456" s="17"/>
      <c r="C456" s="33"/>
      <c r="D456" s="33"/>
      <c r="E456" s="33"/>
    </row>
    <row r="457" spans="2:5" s="18" customFormat="1" ht="21" customHeight="1" x14ac:dyDescent="0.5">
      <c r="B457" s="17"/>
      <c r="C457" s="33"/>
      <c r="D457" s="33"/>
      <c r="E457" s="33"/>
    </row>
    <row r="458" spans="2:5" s="18" customFormat="1" ht="21" customHeight="1" x14ac:dyDescent="0.5">
      <c r="B458" s="17"/>
      <c r="C458" s="33"/>
      <c r="D458" s="33"/>
      <c r="E458" s="33"/>
    </row>
    <row r="459" spans="2:5" s="18" customFormat="1" ht="21" customHeight="1" x14ac:dyDescent="0.5">
      <c r="B459" s="17"/>
      <c r="C459" s="33"/>
      <c r="D459" s="33"/>
      <c r="E459" s="33"/>
    </row>
    <row r="460" spans="2:5" s="18" customFormat="1" ht="21" customHeight="1" x14ac:dyDescent="0.5">
      <c r="B460" s="17"/>
      <c r="C460" s="33"/>
      <c r="D460" s="33"/>
      <c r="E460" s="33"/>
    </row>
    <row r="461" spans="2:5" s="18" customFormat="1" ht="21" customHeight="1" x14ac:dyDescent="0.5">
      <c r="B461" s="17"/>
      <c r="C461" s="33"/>
      <c r="D461" s="33"/>
      <c r="E461" s="33"/>
    </row>
    <row r="462" spans="2:5" s="18" customFormat="1" ht="21" customHeight="1" x14ac:dyDescent="0.5">
      <c r="B462" s="17"/>
      <c r="C462" s="33"/>
      <c r="D462" s="33"/>
      <c r="E462" s="33"/>
    </row>
    <row r="463" spans="2:5" s="18" customFormat="1" ht="21" customHeight="1" x14ac:dyDescent="0.5">
      <c r="B463" s="17"/>
      <c r="C463" s="33"/>
      <c r="D463" s="33"/>
      <c r="E463" s="33"/>
    </row>
    <row r="464" spans="2:5" s="18" customFormat="1" ht="21" customHeight="1" x14ac:dyDescent="0.5">
      <c r="B464" s="17"/>
      <c r="C464" s="33"/>
      <c r="D464" s="33"/>
      <c r="E464" s="33"/>
    </row>
    <row r="465" spans="2:5" s="18" customFormat="1" ht="21" customHeight="1" x14ac:dyDescent="0.5">
      <c r="B465" s="17"/>
      <c r="C465" s="33"/>
      <c r="D465" s="33"/>
      <c r="E465" s="33"/>
    </row>
    <row r="466" spans="2:5" s="18" customFormat="1" ht="21" customHeight="1" x14ac:dyDescent="0.5">
      <c r="B466" s="17"/>
      <c r="C466" s="33"/>
      <c r="D466" s="33"/>
      <c r="E466" s="33"/>
    </row>
    <row r="467" spans="2:5" s="18" customFormat="1" ht="21" customHeight="1" x14ac:dyDescent="0.5">
      <c r="B467" s="17"/>
      <c r="C467" s="33"/>
      <c r="D467" s="33"/>
      <c r="E467" s="33"/>
    </row>
    <row r="468" spans="2:5" s="18" customFormat="1" ht="21" customHeight="1" x14ac:dyDescent="0.5">
      <c r="B468" s="17"/>
      <c r="C468" s="33"/>
      <c r="D468" s="33"/>
      <c r="E468" s="33"/>
    </row>
    <row r="469" spans="2:5" s="18" customFormat="1" ht="21" customHeight="1" x14ac:dyDescent="0.5">
      <c r="B469" s="17"/>
      <c r="C469" s="33"/>
      <c r="D469" s="33"/>
      <c r="E469" s="33"/>
    </row>
    <row r="470" spans="2:5" s="18" customFormat="1" ht="21" customHeight="1" x14ac:dyDescent="0.5">
      <c r="B470" s="17"/>
      <c r="C470" s="33"/>
      <c r="D470" s="33"/>
      <c r="E470" s="33"/>
    </row>
    <row r="471" spans="2:5" s="18" customFormat="1" ht="21" customHeight="1" x14ac:dyDescent="0.5">
      <c r="B471" s="17"/>
      <c r="C471" s="33"/>
      <c r="D471" s="33"/>
      <c r="E471" s="33"/>
    </row>
    <row r="472" spans="2:5" s="18" customFormat="1" ht="21" customHeight="1" x14ac:dyDescent="0.5">
      <c r="B472" s="17"/>
      <c r="C472" s="33"/>
      <c r="D472" s="33"/>
      <c r="E472" s="33"/>
    </row>
    <row r="473" spans="2:5" s="18" customFormat="1" ht="21" customHeight="1" x14ac:dyDescent="0.5">
      <c r="B473" s="17"/>
      <c r="C473" s="33"/>
      <c r="D473" s="33"/>
      <c r="E473" s="33"/>
    </row>
    <row r="474" spans="2:5" s="18" customFormat="1" ht="21" customHeight="1" x14ac:dyDescent="0.5">
      <c r="B474" s="17"/>
      <c r="C474" s="33"/>
      <c r="D474" s="33"/>
      <c r="E474" s="33"/>
    </row>
    <row r="475" spans="2:5" s="18" customFormat="1" ht="21" customHeight="1" x14ac:dyDescent="0.5">
      <c r="B475" s="17"/>
      <c r="C475" s="33"/>
      <c r="D475" s="33"/>
      <c r="E475" s="33"/>
    </row>
    <row r="476" spans="2:5" s="18" customFormat="1" ht="21" customHeight="1" x14ac:dyDescent="0.5">
      <c r="B476" s="17"/>
      <c r="C476" s="33"/>
      <c r="D476" s="33"/>
      <c r="E476" s="33"/>
    </row>
    <row r="477" spans="2:5" s="18" customFormat="1" ht="21" customHeight="1" x14ac:dyDescent="0.5">
      <c r="B477" s="17"/>
      <c r="C477" s="33"/>
      <c r="D477" s="33"/>
      <c r="E477" s="33"/>
    </row>
    <row r="478" spans="2:5" s="18" customFormat="1" ht="21" customHeight="1" x14ac:dyDescent="0.5">
      <c r="B478" s="17"/>
      <c r="C478" s="33"/>
      <c r="D478" s="33"/>
      <c r="E478" s="33"/>
    </row>
    <row r="479" spans="2:5" s="18" customFormat="1" ht="21" customHeight="1" x14ac:dyDescent="0.5">
      <c r="B479" s="17"/>
      <c r="C479" s="33"/>
      <c r="D479" s="33"/>
      <c r="E479" s="33"/>
    </row>
    <row r="480" spans="2:5" s="18" customFormat="1" ht="21" customHeight="1" x14ac:dyDescent="0.5">
      <c r="B480" s="17"/>
      <c r="C480" s="33"/>
      <c r="D480" s="33"/>
      <c r="E480" s="33"/>
    </row>
    <row r="481" spans="2:5" s="18" customFormat="1" ht="21" customHeight="1" x14ac:dyDescent="0.5">
      <c r="B481" s="17"/>
      <c r="C481" s="33"/>
      <c r="D481" s="33"/>
      <c r="E481" s="33"/>
    </row>
    <row r="482" spans="2:5" s="18" customFormat="1" ht="21" customHeight="1" x14ac:dyDescent="0.5">
      <c r="B482" s="17"/>
      <c r="C482" s="33"/>
      <c r="D482" s="33"/>
      <c r="E482" s="33"/>
    </row>
    <row r="483" spans="2:5" s="18" customFormat="1" ht="21" customHeight="1" x14ac:dyDescent="0.5">
      <c r="B483" s="17"/>
      <c r="C483" s="33"/>
      <c r="D483" s="33"/>
      <c r="E483" s="33"/>
    </row>
    <row r="484" spans="2:5" s="18" customFormat="1" ht="21" customHeight="1" x14ac:dyDescent="0.5">
      <c r="B484" s="17"/>
      <c r="C484" s="33"/>
      <c r="D484" s="33"/>
      <c r="E484" s="33"/>
    </row>
    <row r="485" spans="2:5" s="18" customFormat="1" ht="21" customHeight="1" x14ac:dyDescent="0.5">
      <c r="B485" s="17"/>
      <c r="C485" s="33"/>
      <c r="D485" s="33"/>
      <c r="E485" s="33"/>
    </row>
    <row r="486" spans="2:5" s="18" customFormat="1" ht="21" customHeight="1" x14ac:dyDescent="0.5">
      <c r="B486" s="17"/>
      <c r="C486" s="33"/>
      <c r="D486" s="33"/>
      <c r="E486" s="33"/>
    </row>
    <row r="487" spans="2:5" s="18" customFormat="1" ht="21" customHeight="1" x14ac:dyDescent="0.5">
      <c r="B487" s="17"/>
      <c r="C487" s="33"/>
      <c r="D487" s="33"/>
      <c r="E487" s="33"/>
    </row>
    <row r="488" spans="2:5" s="18" customFormat="1" ht="21" customHeight="1" x14ac:dyDescent="0.5">
      <c r="B488" s="17"/>
      <c r="C488" s="33"/>
      <c r="D488" s="33"/>
      <c r="E488" s="33"/>
    </row>
    <row r="489" spans="2:5" s="18" customFormat="1" ht="21" customHeight="1" x14ac:dyDescent="0.5">
      <c r="B489" s="17"/>
      <c r="C489" s="33"/>
      <c r="D489" s="33"/>
      <c r="E489" s="33"/>
    </row>
    <row r="490" spans="2:5" s="18" customFormat="1" ht="21" customHeight="1" x14ac:dyDescent="0.5">
      <c r="B490" s="17"/>
      <c r="C490" s="33"/>
      <c r="D490" s="33"/>
      <c r="E490" s="33"/>
    </row>
    <row r="491" spans="2:5" s="18" customFormat="1" ht="21" customHeight="1" x14ac:dyDescent="0.5">
      <c r="B491" s="17"/>
      <c r="C491" s="33"/>
      <c r="D491" s="33"/>
      <c r="E491" s="33"/>
    </row>
    <row r="492" spans="2:5" s="18" customFormat="1" ht="21" customHeight="1" x14ac:dyDescent="0.5">
      <c r="B492" s="17"/>
      <c r="C492" s="33"/>
      <c r="D492" s="33"/>
      <c r="E492" s="33"/>
    </row>
    <row r="493" spans="2:5" s="18" customFormat="1" ht="21" customHeight="1" x14ac:dyDescent="0.5">
      <c r="B493" s="17"/>
      <c r="C493" s="33"/>
      <c r="D493" s="33"/>
      <c r="E493" s="33"/>
    </row>
    <row r="494" spans="2:5" s="18" customFormat="1" ht="21" customHeight="1" x14ac:dyDescent="0.5">
      <c r="B494" s="17"/>
      <c r="C494" s="33"/>
      <c r="D494" s="33"/>
      <c r="E494" s="33"/>
    </row>
    <row r="495" spans="2:5" s="18" customFormat="1" ht="21" customHeight="1" x14ac:dyDescent="0.5">
      <c r="B495" s="17"/>
      <c r="C495" s="33"/>
      <c r="D495" s="33"/>
      <c r="E495" s="33"/>
    </row>
    <row r="496" spans="2:5" s="18" customFormat="1" ht="21" customHeight="1" x14ac:dyDescent="0.5">
      <c r="B496" s="17"/>
      <c r="C496" s="33"/>
      <c r="D496" s="33"/>
      <c r="E496" s="33"/>
    </row>
    <row r="497" spans="2:5" s="18" customFormat="1" ht="21" customHeight="1" x14ac:dyDescent="0.5">
      <c r="B497" s="17"/>
      <c r="C497" s="33"/>
      <c r="D497" s="33"/>
      <c r="E497" s="33"/>
    </row>
    <row r="498" spans="2:5" s="18" customFormat="1" ht="21" customHeight="1" x14ac:dyDescent="0.5">
      <c r="B498" s="17"/>
      <c r="C498" s="33"/>
      <c r="D498" s="33"/>
      <c r="E498" s="33"/>
    </row>
    <row r="499" spans="2:5" s="18" customFormat="1" ht="21" customHeight="1" x14ac:dyDescent="0.5">
      <c r="B499" s="17"/>
      <c r="C499" s="33"/>
      <c r="D499" s="33"/>
      <c r="E499" s="33"/>
    </row>
    <row r="500" spans="2:5" s="18" customFormat="1" ht="21" customHeight="1" x14ac:dyDescent="0.5">
      <c r="B500" s="17"/>
      <c r="C500" s="33"/>
      <c r="D500" s="33"/>
      <c r="E500" s="33"/>
    </row>
    <row r="501" spans="2:5" s="18" customFormat="1" ht="21" customHeight="1" x14ac:dyDescent="0.5">
      <c r="B501" s="17"/>
      <c r="C501" s="33"/>
      <c r="D501" s="33"/>
      <c r="E501" s="33"/>
    </row>
    <row r="502" spans="2:5" s="18" customFormat="1" ht="21" customHeight="1" x14ac:dyDescent="0.5">
      <c r="B502" s="17"/>
      <c r="C502" s="33"/>
      <c r="D502" s="33"/>
      <c r="E502" s="33"/>
    </row>
    <row r="503" spans="2:5" s="18" customFormat="1" ht="21" customHeight="1" x14ac:dyDescent="0.5">
      <c r="B503" s="17"/>
      <c r="C503" s="33"/>
      <c r="D503" s="33"/>
      <c r="E503" s="33"/>
    </row>
    <row r="504" spans="2:5" s="18" customFormat="1" ht="21" customHeight="1" x14ac:dyDescent="0.5">
      <c r="B504" s="17"/>
      <c r="C504" s="33"/>
      <c r="D504" s="33"/>
      <c r="E504" s="33"/>
    </row>
    <row r="505" spans="2:5" s="18" customFormat="1" ht="21" customHeight="1" x14ac:dyDescent="0.5">
      <c r="B505" s="17"/>
      <c r="C505" s="33"/>
      <c r="D505" s="33"/>
      <c r="E505" s="33"/>
    </row>
    <row r="506" spans="2:5" s="18" customFormat="1" ht="21" customHeight="1" x14ac:dyDescent="0.5">
      <c r="B506" s="17"/>
      <c r="C506" s="33"/>
      <c r="D506" s="33"/>
      <c r="E506" s="33"/>
    </row>
    <row r="507" spans="2:5" s="18" customFormat="1" ht="21" customHeight="1" x14ac:dyDescent="0.5">
      <c r="B507" s="17"/>
      <c r="C507" s="33"/>
      <c r="D507" s="33"/>
      <c r="E507" s="33"/>
    </row>
    <row r="508" spans="2:5" s="18" customFormat="1" ht="21" customHeight="1" x14ac:dyDescent="0.5">
      <c r="B508" s="17"/>
      <c r="C508" s="33"/>
      <c r="D508" s="33"/>
      <c r="E508" s="33"/>
    </row>
    <row r="509" spans="2:5" s="18" customFormat="1" ht="21" customHeight="1" x14ac:dyDescent="0.5">
      <c r="B509" s="17"/>
      <c r="C509" s="33"/>
      <c r="D509" s="33"/>
      <c r="E509" s="33"/>
    </row>
    <row r="510" spans="2:5" s="18" customFormat="1" ht="21" customHeight="1" x14ac:dyDescent="0.5">
      <c r="B510" s="17"/>
      <c r="C510" s="33"/>
      <c r="D510" s="33"/>
      <c r="E510" s="33"/>
    </row>
    <row r="511" spans="2:5" s="18" customFormat="1" ht="21" customHeight="1" x14ac:dyDescent="0.5">
      <c r="B511" s="17"/>
      <c r="C511" s="33"/>
      <c r="D511" s="33"/>
      <c r="E511" s="33"/>
    </row>
    <row r="512" spans="2:5" s="18" customFormat="1" ht="21" customHeight="1" x14ac:dyDescent="0.5">
      <c r="B512" s="17"/>
      <c r="C512" s="33"/>
      <c r="D512" s="33"/>
      <c r="E512" s="33"/>
    </row>
    <row r="513" spans="2:5" s="18" customFormat="1" ht="21" customHeight="1" x14ac:dyDescent="0.5">
      <c r="B513" s="17"/>
      <c r="C513" s="33"/>
      <c r="D513" s="33"/>
      <c r="E513" s="33"/>
    </row>
    <row r="514" spans="2:5" s="18" customFormat="1" ht="21" customHeight="1" x14ac:dyDescent="0.5">
      <c r="B514" s="17"/>
      <c r="C514" s="33"/>
      <c r="D514" s="33"/>
      <c r="E514" s="33"/>
    </row>
    <row r="515" spans="2:5" s="18" customFormat="1" ht="21" customHeight="1" x14ac:dyDescent="0.5">
      <c r="B515" s="17"/>
      <c r="C515" s="33"/>
      <c r="D515" s="33"/>
      <c r="E515" s="33"/>
    </row>
    <row r="516" spans="2:5" s="18" customFormat="1" ht="21" customHeight="1" x14ac:dyDescent="0.5">
      <c r="B516" s="17"/>
      <c r="C516" s="33"/>
      <c r="D516" s="33"/>
      <c r="E516" s="33"/>
    </row>
    <row r="517" spans="2:5" s="18" customFormat="1" ht="21" customHeight="1" x14ac:dyDescent="0.5">
      <c r="B517" s="17"/>
      <c r="C517" s="33"/>
      <c r="D517" s="33"/>
      <c r="E517" s="33"/>
    </row>
    <row r="518" spans="2:5" s="18" customFormat="1" ht="21" customHeight="1" x14ac:dyDescent="0.5">
      <c r="B518" s="17"/>
      <c r="C518" s="33"/>
      <c r="D518" s="33"/>
      <c r="E518" s="33"/>
    </row>
    <row r="519" spans="2:5" s="18" customFormat="1" ht="21" customHeight="1" x14ac:dyDescent="0.5">
      <c r="B519" s="17"/>
      <c r="C519" s="33"/>
      <c r="D519" s="33"/>
      <c r="E519" s="33"/>
    </row>
    <row r="520" spans="2:5" s="18" customFormat="1" ht="21" customHeight="1" x14ac:dyDescent="0.5">
      <c r="B520" s="17"/>
      <c r="C520" s="33"/>
      <c r="D520" s="33"/>
      <c r="E520" s="33"/>
    </row>
    <row r="521" spans="2:5" s="18" customFormat="1" ht="21" customHeight="1" x14ac:dyDescent="0.5">
      <c r="B521" s="17"/>
      <c r="C521" s="33"/>
      <c r="D521" s="33"/>
      <c r="E521" s="33"/>
    </row>
    <row r="522" spans="2:5" s="18" customFormat="1" ht="21" customHeight="1" x14ac:dyDescent="0.5">
      <c r="B522" s="17"/>
      <c r="C522" s="33"/>
      <c r="D522" s="33"/>
      <c r="E522" s="33"/>
    </row>
    <row r="523" spans="2:5" s="18" customFormat="1" ht="21" customHeight="1" x14ac:dyDescent="0.5">
      <c r="B523" s="17"/>
      <c r="C523" s="33"/>
      <c r="D523" s="33"/>
      <c r="E523" s="33"/>
    </row>
    <row r="524" spans="2:5" s="18" customFormat="1" ht="21" customHeight="1" x14ac:dyDescent="0.5">
      <c r="B524" s="17"/>
      <c r="C524" s="33"/>
      <c r="D524" s="33"/>
      <c r="E524" s="33"/>
    </row>
    <row r="525" spans="2:5" s="18" customFormat="1" ht="21" customHeight="1" x14ac:dyDescent="0.5">
      <c r="B525" s="17"/>
      <c r="C525" s="33"/>
      <c r="D525" s="33"/>
      <c r="E525" s="33"/>
    </row>
    <row r="526" spans="2:5" s="18" customFormat="1" ht="21" customHeight="1" x14ac:dyDescent="0.5">
      <c r="B526" s="17"/>
      <c r="C526" s="33"/>
      <c r="D526" s="33"/>
      <c r="E526" s="33"/>
    </row>
    <row r="527" spans="2:5" s="18" customFormat="1" ht="21" customHeight="1" x14ac:dyDescent="0.5">
      <c r="B527" s="17"/>
      <c r="C527" s="33"/>
      <c r="D527" s="33"/>
      <c r="E527" s="33"/>
    </row>
    <row r="528" spans="2:5" s="18" customFormat="1" ht="21" customHeight="1" x14ac:dyDescent="0.5">
      <c r="B528" s="17"/>
      <c r="C528" s="33"/>
      <c r="D528" s="33"/>
      <c r="E528" s="33"/>
    </row>
    <row r="529" spans="2:5" s="18" customFormat="1" ht="21" customHeight="1" x14ac:dyDescent="0.5">
      <c r="B529" s="17"/>
      <c r="C529" s="33"/>
      <c r="D529" s="33"/>
      <c r="E529" s="33"/>
    </row>
    <row r="530" spans="2:5" s="18" customFormat="1" ht="21" customHeight="1" x14ac:dyDescent="0.5">
      <c r="B530" s="17"/>
      <c r="C530" s="33"/>
      <c r="D530" s="33"/>
      <c r="E530" s="33"/>
    </row>
    <row r="531" spans="2:5" s="18" customFormat="1" ht="21" customHeight="1" x14ac:dyDescent="0.5">
      <c r="B531" s="17"/>
      <c r="C531" s="33"/>
      <c r="D531" s="33"/>
      <c r="E531" s="33"/>
    </row>
    <row r="532" spans="2:5" s="18" customFormat="1" ht="21" customHeight="1" x14ac:dyDescent="0.5">
      <c r="B532" s="17"/>
      <c r="C532" s="33"/>
      <c r="D532" s="33"/>
      <c r="E532" s="33"/>
    </row>
    <row r="533" spans="2:5" s="18" customFormat="1" ht="21" customHeight="1" x14ac:dyDescent="0.5">
      <c r="B533" s="17"/>
      <c r="C533" s="33"/>
      <c r="D533" s="33"/>
      <c r="E533" s="33"/>
    </row>
    <row r="534" spans="2:5" s="18" customFormat="1" ht="21" customHeight="1" x14ac:dyDescent="0.5">
      <c r="B534" s="17"/>
      <c r="C534" s="33"/>
      <c r="D534" s="33"/>
      <c r="E534" s="33"/>
    </row>
    <row r="535" spans="2:5" s="18" customFormat="1" ht="21" customHeight="1" x14ac:dyDescent="0.5">
      <c r="B535" s="17"/>
      <c r="C535" s="33"/>
      <c r="D535" s="33"/>
      <c r="E535" s="33"/>
    </row>
    <row r="536" spans="2:5" s="18" customFormat="1" ht="21" customHeight="1" x14ac:dyDescent="0.5">
      <c r="B536" s="17"/>
      <c r="C536" s="33"/>
      <c r="D536" s="33"/>
      <c r="E536" s="33"/>
    </row>
    <row r="537" spans="2:5" s="18" customFormat="1" ht="21" customHeight="1" x14ac:dyDescent="0.5">
      <c r="B537" s="17"/>
      <c r="C537" s="33"/>
      <c r="D537" s="33"/>
      <c r="E537" s="33"/>
    </row>
    <row r="538" spans="2:5" s="18" customFormat="1" ht="21" customHeight="1" x14ac:dyDescent="0.5">
      <c r="B538" s="17"/>
      <c r="C538" s="33"/>
      <c r="D538" s="33"/>
      <c r="E538" s="33"/>
    </row>
    <row r="539" spans="2:5" s="18" customFormat="1" ht="21" customHeight="1" x14ac:dyDescent="0.5">
      <c r="B539" s="17"/>
      <c r="C539" s="33"/>
      <c r="D539" s="33"/>
      <c r="E539" s="33"/>
    </row>
    <row r="540" spans="2:5" s="18" customFormat="1" ht="21" customHeight="1" x14ac:dyDescent="0.5">
      <c r="B540" s="17"/>
      <c r="C540" s="33"/>
      <c r="D540" s="33"/>
      <c r="E540" s="33"/>
    </row>
    <row r="541" spans="2:5" s="18" customFormat="1" ht="21" customHeight="1" x14ac:dyDescent="0.5">
      <c r="B541" s="17"/>
      <c r="C541" s="33"/>
      <c r="D541" s="33"/>
      <c r="E541" s="33"/>
    </row>
    <row r="542" spans="2:5" s="18" customFormat="1" ht="21" customHeight="1" x14ac:dyDescent="0.5">
      <c r="B542" s="17"/>
      <c r="C542" s="33"/>
      <c r="D542" s="33"/>
      <c r="E542" s="33"/>
    </row>
    <row r="543" spans="2:5" s="18" customFormat="1" ht="21" customHeight="1" x14ac:dyDescent="0.5">
      <c r="B543" s="17"/>
      <c r="C543" s="33"/>
      <c r="D543" s="33"/>
      <c r="E543" s="33"/>
    </row>
    <row r="544" spans="2:5" s="18" customFormat="1" ht="21" customHeight="1" x14ac:dyDescent="0.5">
      <c r="B544" s="17"/>
      <c r="C544" s="33"/>
      <c r="D544" s="33"/>
      <c r="E544" s="33"/>
    </row>
    <row r="545" spans="2:5" s="18" customFormat="1" ht="21" customHeight="1" x14ac:dyDescent="0.5">
      <c r="B545" s="17"/>
      <c r="C545" s="33"/>
      <c r="D545" s="33"/>
      <c r="E545" s="33"/>
    </row>
    <row r="546" spans="2:5" s="18" customFormat="1" ht="21" customHeight="1" x14ac:dyDescent="0.5">
      <c r="B546" s="17"/>
      <c r="C546" s="33"/>
      <c r="D546" s="33"/>
      <c r="E546" s="33"/>
    </row>
    <row r="547" spans="2:5" s="18" customFormat="1" ht="21" customHeight="1" x14ac:dyDescent="0.5">
      <c r="B547" s="17"/>
      <c r="C547" s="33"/>
      <c r="D547" s="33"/>
      <c r="E547" s="33"/>
    </row>
    <row r="548" spans="2:5" s="18" customFormat="1" ht="21" customHeight="1" x14ac:dyDescent="0.5">
      <c r="B548" s="17"/>
      <c r="C548" s="33"/>
      <c r="D548" s="33"/>
      <c r="E548" s="33"/>
    </row>
    <row r="549" spans="2:5" s="18" customFormat="1" ht="21" customHeight="1" x14ac:dyDescent="0.5">
      <c r="B549" s="17"/>
      <c r="C549" s="33"/>
      <c r="D549" s="33"/>
      <c r="E549" s="33"/>
    </row>
    <row r="550" spans="2:5" s="18" customFormat="1" ht="21" customHeight="1" x14ac:dyDescent="0.5">
      <c r="B550" s="17"/>
      <c r="C550" s="33"/>
      <c r="D550" s="33"/>
      <c r="E550" s="33"/>
    </row>
    <row r="551" spans="2:5" s="18" customFormat="1" ht="21" customHeight="1" x14ac:dyDescent="0.5">
      <c r="B551" s="17"/>
      <c r="C551" s="33"/>
      <c r="D551" s="33"/>
      <c r="E551" s="33"/>
    </row>
    <row r="552" spans="2:5" s="18" customFormat="1" ht="21" customHeight="1" x14ac:dyDescent="0.5">
      <c r="B552" s="17"/>
      <c r="C552" s="33"/>
      <c r="D552" s="33"/>
      <c r="E552" s="33"/>
    </row>
    <row r="553" spans="2:5" s="18" customFormat="1" ht="21" customHeight="1" x14ac:dyDescent="0.5">
      <c r="B553" s="17"/>
      <c r="C553" s="33"/>
      <c r="D553" s="33"/>
      <c r="E553" s="33"/>
    </row>
    <row r="554" spans="2:5" s="18" customFormat="1" ht="21" customHeight="1" x14ac:dyDescent="0.5">
      <c r="B554" s="17"/>
      <c r="C554" s="33"/>
      <c r="D554" s="33"/>
      <c r="E554" s="33"/>
    </row>
    <row r="555" spans="2:5" s="18" customFormat="1" ht="21" customHeight="1" x14ac:dyDescent="0.5">
      <c r="B555" s="17"/>
      <c r="C555" s="33"/>
      <c r="D555" s="33"/>
      <c r="E555" s="33"/>
    </row>
    <row r="556" spans="2:5" s="18" customFormat="1" ht="21" customHeight="1" x14ac:dyDescent="0.5">
      <c r="B556" s="17"/>
      <c r="C556" s="33"/>
      <c r="D556" s="33"/>
      <c r="E556" s="33"/>
    </row>
    <row r="557" spans="2:5" s="18" customFormat="1" ht="21" customHeight="1" x14ac:dyDescent="0.5">
      <c r="B557" s="17"/>
      <c r="C557" s="33"/>
      <c r="D557" s="33"/>
      <c r="E557" s="33"/>
    </row>
    <row r="558" spans="2:5" s="18" customFormat="1" ht="21" customHeight="1" x14ac:dyDescent="0.5">
      <c r="B558" s="17"/>
      <c r="C558" s="33"/>
      <c r="D558" s="33"/>
      <c r="E558" s="33"/>
    </row>
    <row r="559" spans="2:5" s="18" customFormat="1" ht="21" customHeight="1" x14ac:dyDescent="0.5">
      <c r="B559" s="17"/>
      <c r="C559" s="33"/>
      <c r="D559" s="33"/>
      <c r="E559" s="33"/>
    </row>
    <row r="560" spans="2:5" s="18" customFormat="1" ht="21" customHeight="1" x14ac:dyDescent="0.5">
      <c r="B560" s="17"/>
      <c r="C560" s="33"/>
      <c r="D560" s="33"/>
      <c r="E560" s="33"/>
    </row>
    <row r="561" spans="2:5" s="18" customFormat="1" ht="21" customHeight="1" x14ac:dyDescent="0.5">
      <c r="B561" s="17"/>
      <c r="C561" s="33"/>
      <c r="D561" s="33"/>
      <c r="E561" s="33"/>
    </row>
    <row r="562" spans="2:5" s="18" customFormat="1" ht="21" customHeight="1" x14ac:dyDescent="0.5">
      <c r="B562" s="17"/>
      <c r="C562" s="33"/>
      <c r="D562" s="33"/>
      <c r="E562" s="33"/>
    </row>
    <row r="563" spans="2:5" s="18" customFormat="1" ht="21" customHeight="1" x14ac:dyDescent="0.5">
      <c r="B563" s="17"/>
      <c r="C563" s="33"/>
      <c r="D563" s="33"/>
      <c r="E563" s="33"/>
    </row>
    <row r="564" spans="2:5" s="18" customFormat="1" ht="21" customHeight="1" x14ac:dyDescent="0.5">
      <c r="B564" s="17"/>
      <c r="C564" s="33"/>
      <c r="D564" s="33"/>
      <c r="E564" s="33"/>
    </row>
    <row r="565" spans="2:5" s="18" customFormat="1" ht="21" customHeight="1" x14ac:dyDescent="0.5">
      <c r="B565" s="17"/>
      <c r="C565" s="33"/>
      <c r="D565" s="33"/>
      <c r="E565" s="33"/>
    </row>
    <row r="566" spans="2:5" s="18" customFormat="1" ht="21" customHeight="1" x14ac:dyDescent="0.5">
      <c r="B566" s="17"/>
      <c r="C566" s="33"/>
      <c r="D566" s="33"/>
      <c r="E566" s="33"/>
    </row>
    <row r="567" spans="2:5" s="18" customFormat="1" ht="21" customHeight="1" x14ac:dyDescent="0.5">
      <c r="B567" s="17"/>
      <c r="C567" s="33"/>
      <c r="D567" s="33"/>
      <c r="E567" s="33"/>
    </row>
    <row r="568" spans="2:5" s="18" customFormat="1" ht="21" customHeight="1" x14ac:dyDescent="0.5">
      <c r="B568" s="17"/>
      <c r="C568" s="33"/>
      <c r="D568" s="33"/>
      <c r="E568" s="33"/>
    </row>
    <row r="569" spans="2:5" s="18" customFormat="1" ht="21" customHeight="1" x14ac:dyDescent="0.5">
      <c r="B569" s="17"/>
      <c r="C569" s="33"/>
      <c r="D569" s="33"/>
      <c r="E569" s="33"/>
    </row>
    <row r="570" spans="2:5" s="18" customFormat="1" ht="21" customHeight="1" x14ac:dyDescent="0.5">
      <c r="B570" s="17"/>
      <c r="C570" s="33"/>
      <c r="D570" s="33"/>
      <c r="E570" s="33"/>
    </row>
    <row r="571" spans="2:5" s="18" customFormat="1" ht="21" customHeight="1" x14ac:dyDescent="0.5">
      <c r="B571" s="17"/>
      <c r="C571" s="33"/>
      <c r="D571" s="33"/>
      <c r="E571" s="33"/>
    </row>
    <row r="572" spans="2:5" s="18" customFormat="1" ht="21" customHeight="1" x14ac:dyDescent="0.5">
      <c r="B572" s="17"/>
      <c r="C572" s="33"/>
      <c r="D572" s="33"/>
      <c r="E572" s="33"/>
    </row>
    <row r="573" spans="2:5" s="18" customFormat="1" ht="21" customHeight="1" x14ac:dyDescent="0.5">
      <c r="B573" s="17"/>
      <c r="C573" s="33"/>
      <c r="D573" s="33"/>
      <c r="E573" s="33"/>
    </row>
    <row r="574" spans="2:5" s="18" customFormat="1" ht="21" customHeight="1" x14ac:dyDescent="0.5">
      <c r="B574" s="17"/>
      <c r="C574" s="33"/>
      <c r="D574" s="33"/>
      <c r="E574" s="33"/>
    </row>
    <row r="575" spans="2:5" s="18" customFormat="1" ht="21" customHeight="1" x14ac:dyDescent="0.5">
      <c r="B575" s="17"/>
      <c r="C575" s="33"/>
      <c r="D575" s="33"/>
      <c r="E575" s="33"/>
    </row>
    <row r="576" spans="2:5" s="18" customFormat="1" ht="21" customHeight="1" x14ac:dyDescent="0.5">
      <c r="B576" s="17"/>
      <c r="C576" s="33"/>
      <c r="D576" s="33"/>
      <c r="E576" s="33"/>
    </row>
    <row r="577" spans="2:5" s="18" customFormat="1" ht="21" customHeight="1" x14ac:dyDescent="0.5">
      <c r="B577" s="17"/>
      <c r="C577" s="33"/>
      <c r="D577" s="33"/>
      <c r="E577" s="33"/>
    </row>
    <row r="578" spans="2:5" s="18" customFormat="1" ht="21" customHeight="1" x14ac:dyDescent="0.5">
      <c r="B578" s="17"/>
      <c r="C578" s="33"/>
      <c r="D578" s="33"/>
      <c r="E578" s="33"/>
    </row>
    <row r="579" spans="2:5" s="18" customFormat="1" ht="21" customHeight="1" x14ac:dyDescent="0.5">
      <c r="B579" s="17"/>
      <c r="C579" s="33"/>
      <c r="D579" s="33"/>
      <c r="E579" s="33"/>
    </row>
    <row r="580" spans="2:5" s="18" customFormat="1" ht="21" customHeight="1" x14ac:dyDescent="0.5">
      <c r="B580" s="17"/>
      <c r="C580" s="33"/>
      <c r="D580" s="33"/>
      <c r="E580" s="33"/>
    </row>
    <row r="581" spans="2:5" s="18" customFormat="1" ht="21" customHeight="1" x14ac:dyDescent="0.5">
      <c r="B581" s="17"/>
      <c r="C581" s="33"/>
      <c r="D581" s="33"/>
      <c r="E581" s="33"/>
    </row>
    <row r="582" spans="2:5" s="18" customFormat="1" ht="21" customHeight="1" x14ac:dyDescent="0.5">
      <c r="B582" s="17"/>
      <c r="C582" s="33"/>
      <c r="D582" s="33"/>
      <c r="E582" s="33"/>
    </row>
    <row r="583" spans="2:5" s="18" customFormat="1" ht="21" customHeight="1" x14ac:dyDescent="0.5">
      <c r="B583" s="17"/>
      <c r="C583" s="33"/>
      <c r="D583" s="33"/>
      <c r="E583" s="33"/>
    </row>
    <row r="584" spans="2:5" s="18" customFormat="1" ht="21" customHeight="1" x14ac:dyDescent="0.5">
      <c r="B584" s="17"/>
      <c r="C584" s="33"/>
      <c r="D584" s="33"/>
      <c r="E584" s="33"/>
    </row>
    <row r="585" spans="2:5" s="18" customFormat="1" ht="21" customHeight="1" x14ac:dyDescent="0.5">
      <c r="B585" s="17"/>
      <c r="C585" s="33"/>
      <c r="D585" s="33"/>
      <c r="E585" s="33"/>
    </row>
    <row r="586" spans="2:5" s="18" customFormat="1" ht="21" customHeight="1" x14ac:dyDescent="0.5">
      <c r="B586" s="17"/>
      <c r="C586" s="33"/>
      <c r="D586" s="33"/>
      <c r="E586" s="33"/>
    </row>
    <row r="587" spans="2:5" s="18" customFormat="1" ht="21" customHeight="1" x14ac:dyDescent="0.5">
      <c r="B587" s="17"/>
      <c r="C587" s="33"/>
      <c r="D587" s="33"/>
      <c r="E587" s="33"/>
    </row>
    <row r="588" spans="2:5" s="18" customFormat="1" ht="21" customHeight="1" x14ac:dyDescent="0.5">
      <c r="B588" s="17"/>
      <c r="C588" s="33"/>
      <c r="D588" s="33"/>
      <c r="E588" s="33"/>
    </row>
    <row r="589" spans="2:5" s="18" customFormat="1" ht="21" customHeight="1" x14ac:dyDescent="0.5">
      <c r="B589" s="17"/>
      <c r="C589" s="33"/>
      <c r="D589" s="33"/>
      <c r="E589" s="33"/>
    </row>
    <row r="590" spans="2:5" s="18" customFormat="1" ht="21" customHeight="1" x14ac:dyDescent="0.5">
      <c r="B590" s="17"/>
      <c r="C590" s="33"/>
      <c r="D590" s="33"/>
      <c r="E590" s="33"/>
    </row>
    <row r="591" spans="2:5" s="18" customFormat="1" ht="21" customHeight="1" x14ac:dyDescent="0.5">
      <c r="B591" s="17"/>
      <c r="C591" s="33"/>
      <c r="D591" s="33"/>
      <c r="E591" s="33"/>
    </row>
    <row r="592" spans="2:5" s="18" customFormat="1" ht="21" customHeight="1" x14ac:dyDescent="0.5">
      <c r="B592" s="17"/>
      <c r="C592" s="33"/>
      <c r="D592" s="33"/>
      <c r="E592" s="33"/>
    </row>
    <row r="593" spans="2:5" s="18" customFormat="1" ht="21" customHeight="1" x14ac:dyDescent="0.5">
      <c r="B593" s="17"/>
      <c r="C593" s="33"/>
      <c r="D593" s="33"/>
      <c r="E593" s="33"/>
    </row>
    <row r="594" spans="2:5" s="18" customFormat="1" ht="21" customHeight="1" x14ac:dyDescent="0.5">
      <c r="B594" s="17"/>
      <c r="C594" s="33"/>
      <c r="D594" s="33"/>
      <c r="E594" s="33"/>
    </row>
    <row r="595" spans="2:5" s="18" customFormat="1" ht="21" customHeight="1" x14ac:dyDescent="0.5">
      <c r="B595" s="17"/>
      <c r="C595" s="33"/>
      <c r="D595" s="33"/>
      <c r="E595" s="33"/>
    </row>
    <row r="596" spans="2:5" s="18" customFormat="1" ht="21" customHeight="1" x14ac:dyDescent="0.5">
      <c r="B596" s="17"/>
      <c r="C596" s="33"/>
      <c r="D596" s="33"/>
      <c r="E596" s="33"/>
    </row>
    <row r="597" spans="2:5" s="18" customFormat="1" ht="21" customHeight="1" x14ac:dyDescent="0.5">
      <c r="B597" s="17"/>
      <c r="C597" s="33"/>
      <c r="D597" s="33"/>
      <c r="E597" s="33"/>
    </row>
    <row r="598" spans="2:5" s="18" customFormat="1" ht="21" customHeight="1" x14ac:dyDescent="0.5">
      <c r="B598" s="17"/>
      <c r="C598" s="33"/>
      <c r="D598" s="33"/>
      <c r="E598" s="33"/>
    </row>
    <row r="599" spans="2:5" s="18" customFormat="1" ht="21" customHeight="1" x14ac:dyDescent="0.5">
      <c r="B599" s="17"/>
      <c r="C599" s="33"/>
      <c r="D599" s="33"/>
      <c r="E599" s="33"/>
    </row>
    <row r="600" spans="2:5" s="18" customFormat="1" ht="21" customHeight="1" x14ac:dyDescent="0.5">
      <c r="B600" s="17"/>
      <c r="C600" s="33"/>
      <c r="D600" s="33"/>
      <c r="E600" s="33"/>
    </row>
    <row r="601" spans="2:5" s="18" customFormat="1" ht="21" customHeight="1" x14ac:dyDescent="0.5">
      <c r="B601" s="17"/>
      <c r="C601" s="33"/>
      <c r="D601" s="33"/>
      <c r="E601" s="33"/>
    </row>
    <row r="602" spans="2:5" s="18" customFormat="1" ht="21" customHeight="1" x14ac:dyDescent="0.5">
      <c r="B602" s="17"/>
      <c r="C602" s="33"/>
      <c r="D602" s="33"/>
      <c r="E602" s="33"/>
    </row>
    <row r="603" spans="2:5" s="18" customFormat="1" ht="21" customHeight="1" x14ac:dyDescent="0.5">
      <c r="B603" s="17"/>
      <c r="C603" s="33"/>
      <c r="D603" s="33"/>
      <c r="E603" s="33"/>
    </row>
    <row r="604" spans="2:5" s="18" customFormat="1" ht="21" customHeight="1" x14ac:dyDescent="0.5">
      <c r="B604" s="17"/>
      <c r="C604" s="33"/>
      <c r="D604" s="33"/>
      <c r="E604" s="33"/>
    </row>
    <row r="605" spans="2:5" s="18" customFormat="1" ht="21" customHeight="1" x14ac:dyDescent="0.5">
      <c r="B605" s="17"/>
      <c r="C605" s="33"/>
      <c r="D605" s="33"/>
      <c r="E605" s="33"/>
    </row>
    <row r="606" spans="2:5" s="18" customFormat="1" ht="21" customHeight="1" x14ac:dyDescent="0.5">
      <c r="B606" s="17"/>
      <c r="C606" s="33"/>
      <c r="D606" s="33"/>
      <c r="E606" s="33"/>
    </row>
    <row r="607" spans="2:5" s="18" customFormat="1" ht="21" customHeight="1" x14ac:dyDescent="0.5">
      <c r="B607" s="17"/>
      <c r="C607" s="33"/>
      <c r="D607" s="33"/>
      <c r="E607" s="33"/>
    </row>
    <row r="608" spans="2:5" s="18" customFormat="1" ht="21" customHeight="1" x14ac:dyDescent="0.5">
      <c r="B608" s="17"/>
      <c r="C608" s="33"/>
      <c r="D608" s="33"/>
      <c r="E608" s="33"/>
    </row>
    <row r="609" spans="2:5" s="18" customFormat="1" ht="21" customHeight="1" x14ac:dyDescent="0.5">
      <c r="B609" s="17"/>
      <c r="C609" s="33"/>
      <c r="D609" s="33"/>
      <c r="E609" s="33"/>
    </row>
    <row r="610" spans="2:5" s="18" customFormat="1" ht="21" customHeight="1" x14ac:dyDescent="0.5">
      <c r="B610" s="17"/>
      <c r="C610" s="33"/>
      <c r="D610" s="33"/>
      <c r="E610" s="33"/>
    </row>
    <row r="611" spans="2:5" s="18" customFormat="1" ht="21" customHeight="1" x14ac:dyDescent="0.5">
      <c r="B611" s="17"/>
      <c r="C611" s="33"/>
      <c r="D611" s="33"/>
      <c r="E611" s="33"/>
    </row>
    <row r="612" spans="2:5" s="18" customFormat="1" ht="21" customHeight="1" x14ac:dyDescent="0.5">
      <c r="B612" s="17"/>
      <c r="C612" s="33"/>
      <c r="D612" s="33"/>
      <c r="E612" s="33"/>
    </row>
    <row r="613" spans="2:5" s="18" customFormat="1" ht="21" customHeight="1" x14ac:dyDescent="0.5">
      <c r="B613" s="17"/>
      <c r="C613" s="33"/>
      <c r="D613" s="33"/>
      <c r="E613" s="33"/>
    </row>
    <row r="614" spans="2:5" s="18" customFormat="1" ht="21" customHeight="1" x14ac:dyDescent="0.5">
      <c r="B614" s="17"/>
      <c r="C614" s="33"/>
      <c r="D614" s="33"/>
      <c r="E614" s="33"/>
    </row>
    <row r="615" spans="2:5" s="18" customFormat="1" ht="21" customHeight="1" x14ac:dyDescent="0.5">
      <c r="B615" s="17"/>
      <c r="C615" s="33"/>
      <c r="D615" s="33"/>
      <c r="E615" s="33"/>
    </row>
    <row r="616" spans="2:5" s="18" customFormat="1" ht="21" customHeight="1" x14ac:dyDescent="0.5">
      <c r="B616" s="17"/>
      <c r="C616" s="33"/>
      <c r="D616" s="33"/>
      <c r="E616" s="33"/>
    </row>
    <row r="617" spans="2:5" s="18" customFormat="1" ht="21" customHeight="1" x14ac:dyDescent="0.5">
      <c r="B617" s="17"/>
      <c r="C617" s="33"/>
      <c r="D617" s="33"/>
      <c r="E617" s="33"/>
    </row>
    <row r="618" spans="2:5" s="18" customFormat="1" ht="21" customHeight="1" x14ac:dyDescent="0.5">
      <c r="B618" s="17"/>
      <c r="C618" s="33"/>
      <c r="D618" s="33"/>
      <c r="E618" s="33"/>
    </row>
    <row r="619" spans="2:5" s="18" customFormat="1" ht="21" customHeight="1" x14ac:dyDescent="0.5">
      <c r="B619" s="17"/>
      <c r="C619" s="33"/>
      <c r="D619" s="33"/>
      <c r="E619" s="33"/>
    </row>
    <row r="620" spans="2:5" s="18" customFormat="1" ht="21" customHeight="1" x14ac:dyDescent="0.5">
      <c r="B620" s="17"/>
      <c r="C620" s="33"/>
      <c r="D620" s="33"/>
      <c r="E620" s="33"/>
    </row>
    <row r="621" spans="2:5" s="18" customFormat="1" ht="21" customHeight="1" x14ac:dyDescent="0.5">
      <c r="B621" s="17"/>
      <c r="C621" s="33"/>
      <c r="D621" s="33"/>
      <c r="E621" s="33"/>
    </row>
    <row r="622" spans="2:5" s="18" customFormat="1" ht="21" customHeight="1" x14ac:dyDescent="0.5">
      <c r="B622" s="17"/>
      <c r="C622" s="33"/>
      <c r="D622" s="33"/>
      <c r="E622" s="33"/>
    </row>
    <row r="623" spans="2:5" s="18" customFormat="1" ht="21" customHeight="1" x14ac:dyDescent="0.5">
      <c r="B623" s="17"/>
      <c r="C623" s="33"/>
      <c r="D623" s="33"/>
      <c r="E623" s="33"/>
    </row>
    <row r="624" spans="2:5" s="18" customFormat="1" ht="21" customHeight="1" x14ac:dyDescent="0.5">
      <c r="B624" s="17"/>
      <c r="C624" s="33"/>
      <c r="D624" s="33"/>
      <c r="E624" s="33"/>
    </row>
    <row r="625" spans="2:5" s="18" customFormat="1" ht="21" customHeight="1" x14ac:dyDescent="0.5">
      <c r="B625" s="17"/>
      <c r="C625" s="33"/>
      <c r="D625" s="33"/>
      <c r="E625" s="33"/>
    </row>
    <row r="626" spans="2:5" s="18" customFormat="1" ht="21" customHeight="1" x14ac:dyDescent="0.5">
      <c r="B626" s="17"/>
      <c r="C626" s="33"/>
      <c r="D626" s="33"/>
      <c r="E626" s="33"/>
    </row>
    <row r="627" spans="2:5" s="18" customFormat="1" ht="21" customHeight="1" x14ac:dyDescent="0.5">
      <c r="B627" s="17"/>
      <c r="C627" s="33"/>
      <c r="D627" s="33"/>
      <c r="E627" s="33"/>
    </row>
    <row r="628" spans="2:5" s="18" customFormat="1" ht="21" customHeight="1" x14ac:dyDescent="0.5">
      <c r="B628" s="17"/>
      <c r="C628" s="33"/>
      <c r="D628" s="33"/>
      <c r="E628" s="33"/>
    </row>
    <row r="629" spans="2:5" s="18" customFormat="1" ht="21" customHeight="1" x14ac:dyDescent="0.5">
      <c r="B629" s="17"/>
      <c r="C629" s="33"/>
      <c r="D629" s="33"/>
      <c r="E629" s="33"/>
    </row>
    <row r="630" spans="2:5" s="18" customFormat="1" ht="21" customHeight="1" x14ac:dyDescent="0.5">
      <c r="B630" s="17"/>
      <c r="C630" s="33"/>
      <c r="D630" s="33"/>
      <c r="E630" s="33"/>
    </row>
    <row r="631" spans="2:5" s="18" customFormat="1" ht="21" customHeight="1" x14ac:dyDescent="0.5">
      <c r="B631" s="17"/>
      <c r="C631" s="33"/>
      <c r="D631" s="33"/>
      <c r="E631" s="33"/>
    </row>
    <row r="632" spans="2:5" s="18" customFormat="1" ht="21" customHeight="1" x14ac:dyDescent="0.5">
      <c r="B632" s="17"/>
      <c r="C632" s="33"/>
      <c r="D632" s="33"/>
      <c r="E632" s="33"/>
    </row>
    <row r="633" spans="2:5" s="18" customFormat="1" ht="21" customHeight="1" x14ac:dyDescent="0.5">
      <c r="B633" s="17"/>
      <c r="C633" s="33"/>
      <c r="D633" s="33"/>
      <c r="E633" s="33"/>
    </row>
    <row r="634" spans="2:5" s="18" customFormat="1" ht="21" customHeight="1" x14ac:dyDescent="0.5">
      <c r="B634" s="17"/>
      <c r="C634" s="33"/>
      <c r="D634" s="33"/>
      <c r="E634" s="33"/>
    </row>
    <row r="635" spans="2:5" s="18" customFormat="1" ht="21" customHeight="1" x14ac:dyDescent="0.5">
      <c r="B635" s="17"/>
      <c r="C635" s="33"/>
      <c r="D635" s="33"/>
      <c r="E635" s="33"/>
    </row>
    <row r="636" spans="2:5" s="18" customFormat="1" ht="21" customHeight="1" x14ac:dyDescent="0.5">
      <c r="B636" s="17"/>
      <c r="C636" s="33"/>
      <c r="D636" s="33"/>
      <c r="E636" s="33"/>
    </row>
    <row r="637" spans="2:5" s="18" customFormat="1" ht="21" customHeight="1" x14ac:dyDescent="0.5">
      <c r="B637" s="17"/>
      <c r="C637" s="33"/>
      <c r="D637" s="33"/>
      <c r="E637" s="33"/>
    </row>
    <row r="638" spans="2:5" s="18" customFormat="1" ht="21" customHeight="1" x14ac:dyDescent="0.5">
      <c r="B638" s="17"/>
      <c r="C638" s="33"/>
      <c r="D638" s="33"/>
      <c r="E638" s="33"/>
    </row>
    <row r="639" spans="2:5" s="18" customFormat="1" ht="21" customHeight="1" x14ac:dyDescent="0.5">
      <c r="B639" s="17"/>
      <c r="C639" s="33"/>
      <c r="D639" s="33"/>
      <c r="E639" s="33"/>
    </row>
    <row r="640" spans="2:5" s="18" customFormat="1" ht="21" customHeight="1" x14ac:dyDescent="0.5">
      <c r="B640" s="17"/>
      <c r="C640" s="33"/>
      <c r="D640" s="33"/>
      <c r="E640" s="33"/>
    </row>
    <row r="641" spans="2:5" s="18" customFormat="1" ht="21" customHeight="1" x14ac:dyDescent="0.5">
      <c r="B641" s="17"/>
      <c r="C641" s="33"/>
      <c r="D641" s="33"/>
      <c r="E641" s="33"/>
    </row>
    <row r="642" spans="2:5" s="18" customFormat="1" ht="21" customHeight="1" x14ac:dyDescent="0.5">
      <c r="B642" s="17"/>
      <c r="C642" s="33"/>
      <c r="D642" s="33"/>
      <c r="E642" s="33"/>
    </row>
    <row r="643" spans="2:5" s="18" customFormat="1" ht="21" customHeight="1" x14ac:dyDescent="0.5">
      <c r="B643" s="17"/>
      <c r="C643" s="33"/>
      <c r="D643" s="33"/>
      <c r="E643" s="33"/>
    </row>
    <row r="644" spans="2:5" s="18" customFormat="1" ht="21" customHeight="1" x14ac:dyDescent="0.5">
      <c r="B644" s="17"/>
      <c r="C644" s="33"/>
      <c r="D644" s="33"/>
      <c r="E644" s="33"/>
    </row>
    <row r="645" spans="2:5" s="18" customFormat="1" ht="21" customHeight="1" x14ac:dyDescent="0.5">
      <c r="B645" s="17"/>
      <c r="C645" s="33"/>
      <c r="D645" s="33"/>
      <c r="E645" s="33"/>
    </row>
    <row r="646" spans="2:5" s="18" customFormat="1" ht="21" customHeight="1" x14ac:dyDescent="0.5">
      <c r="B646" s="17"/>
      <c r="C646" s="33"/>
      <c r="D646" s="33"/>
      <c r="E646" s="33"/>
    </row>
    <row r="647" spans="2:5" s="18" customFormat="1" ht="21" customHeight="1" x14ac:dyDescent="0.5">
      <c r="B647" s="17"/>
      <c r="C647" s="33"/>
      <c r="D647" s="33"/>
      <c r="E647" s="33"/>
    </row>
    <row r="648" spans="2:5" s="18" customFormat="1" ht="21" customHeight="1" x14ac:dyDescent="0.5">
      <c r="B648" s="17"/>
      <c r="C648" s="33"/>
      <c r="D648" s="33"/>
      <c r="E648" s="33"/>
    </row>
    <row r="649" spans="2:5" s="18" customFormat="1" ht="21" customHeight="1" x14ac:dyDescent="0.5">
      <c r="B649" s="17"/>
      <c r="C649" s="33"/>
      <c r="D649" s="33"/>
      <c r="E649" s="33"/>
    </row>
    <row r="650" spans="2:5" s="18" customFormat="1" ht="21" customHeight="1" x14ac:dyDescent="0.5">
      <c r="B650" s="17"/>
      <c r="C650" s="33"/>
      <c r="D650" s="33"/>
      <c r="E650" s="33"/>
    </row>
    <row r="651" spans="2:5" s="18" customFormat="1" ht="21" customHeight="1" x14ac:dyDescent="0.5">
      <c r="B651" s="17"/>
      <c r="C651" s="33"/>
      <c r="D651" s="33"/>
      <c r="E651" s="33"/>
    </row>
    <row r="652" spans="2:5" s="18" customFormat="1" ht="21" customHeight="1" x14ac:dyDescent="0.5">
      <c r="B652" s="17"/>
      <c r="C652" s="33"/>
      <c r="D652" s="33"/>
      <c r="E652" s="33"/>
    </row>
    <row r="653" spans="2:5" s="18" customFormat="1" ht="21" customHeight="1" x14ac:dyDescent="0.5">
      <c r="B653" s="17"/>
      <c r="C653" s="33"/>
      <c r="D653" s="33"/>
      <c r="E653" s="33"/>
    </row>
    <row r="654" spans="2:5" s="18" customFormat="1" ht="21" customHeight="1" x14ac:dyDescent="0.5">
      <c r="B654" s="17"/>
      <c r="C654" s="33"/>
      <c r="D654" s="33"/>
      <c r="E654" s="33"/>
    </row>
    <row r="655" spans="2:5" s="18" customFormat="1" ht="21" customHeight="1" x14ac:dyDescent="0.5">
      <c r="B655" s="17"/>
      <c r="C655" s="33"/>
      <c r="D655" s="33"/>
      <c r="E655" s="33"/>
    </row>
    <row r="656" spans="2:5" s="18" customFormat="1" ht="21" customHeight="1" x14ac:dyDescent="0.5">
      <c r="B656" s="17"/>
      <c r="C656" s="33"/>
      <c r="D656" s="33"/>
      <c r="E656" s="33"/>
    </row>
    <row r="657" spans="2:5" s="18" customFormat="1" ht="21" customHeight="1" x14ac:dyDescent="0.5">
      <c r="B657" s="17"/>
      <c r="C657" s="33"/>
      <c r="D657" s="33"/>
      <c r="E657" s="33"/>
    </row>
    <row r="658" spans="2:5" s="18" customFormat="1" ht="21" customHeight="1" x14ac:dyDescent="0.5">
      <c r="B658" s="17"/>
      <c r="C658" s="33"/>
      <c r="D658" s="33"/>
      <c r="E658" s="33"/>
    </row>
    <row r="659" spans="2:5" s="18" customFormat="1" ht="21" customHeight="1" x14ac:dyDescent="0.5">
      <c r="B659" s="17"/>
      <c r="C659" s="33"/>
      <c r="D659" s="33"/>
      <c r="E659" s="33"/>
    </row>
    <row r="660" spans="2:5" s="18" customFormat="1" ht="21" customHeight="1" x14ac:dyDescent="0.5">
      <c r="B660" s="17"/>
      <c r="C660" s="33"/>
      <c r="D660" s="33"/>
      <c r="E660" s="33"/>
    </row>
    <row r="661" spans="2:5" s="18" customFormat="1" ht="21" customHeight="1" x14ac:dyDescent="0.5">
      <c r="B661" s="17"/>
      <c r="C661" s="33"/>
      <c r="D661" s="33"/>
      <c r="E661" s="33"/>
    </row>
    <row r="662" spans="2:5" s="18" customFormat="1" ht="21" customHeight="1" x14ac:dyDescent="0.5">
      <c r="B662" s="17"/>
      <c r="C662" s="33"/>
      <c r="D662" s="33"/>
      <c r="E662" s="33"/>
    </row>
    <row r="663" spans="2:5" s="18" customFormat="1" ht="21" customHeight="1" x14ac:dyDescent="0.5">
      <c r="B663" s="17"/>
      <c r="C663" s="33"/>
      <c r="D663" s="33"/>
      <c r="E663" s="33"/>
    </row>
    <row r="664" spans="2:5" s="18" customFormat="1" ht="21" customHeight="1" x14ac:dyDescent="0.5">
      <c r="B664" s="17"/>
      <c r="C664" s="33"/>
      <c r="D664" s="33"/>
      <c r="E664" s="33"/>
    </row>
    <row r="665" spans="2:5" s="18" customFormat="1" ht="21" customHeight="1" x14ac:dyDescent="0.5">
      <c r="B665" s="17"/>
      <c r="C665" s="33"/>
      <c r="D665" s="33"/>
      <c r="E665" s="33"/>
    </row>
  </sheetData>
  <phoneticPr fontId="34" type="noConversion"/>
  <dataValidations count="1">
    <dataValidation allowBlank="1" showInputMessage="1" showErrorMessage="1" prompt="为每个类别添加或编辑特定支出项。_x000a__x000a_输入预估费用和实际费用。自动计算差额列和总计行。" sqref="A1" xr:uid="{00000000-0002-0000-0100-000000000000}"/>
  </dataValidations>
  <printOptions horizontalCentered="1"/>
  <pageMargins left="0.7" right="0.7" top="0.75" bottom="0.75" header="0.3" footer="0.3"/>
  <pageSetup paperSize="9" orientation="portrait" r:id="rId1"/>
  <rowBreaks count="2" manualBreakCount="2">
    <brk id="31" max="16383" man="1"/>
    <brk id="58" max="16383" man="1"/>
  </rowBreaks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8ECE-6DDD-486E-A8C9-0BE357AE6C78}">
  <dimension ref="B1:Q37"/>
  <sheetViews>
    <sheetView tabSelected="1" topLeftCell="A4" workbookViewId="0">
      <selection activeCell="E20" sqref="E20"/>
    </sheetView>
  </sheetViews>
  <sheetFormatPr defaultColWidth="9.1328125" defaultRowHeight="21" customHeight="1" x14ac:dyDescent="0.5"/>
  <cols>
    <col min="1" max="1" width="1.6640625" style="18" customWidth="1"/>
    <col min="2" max="2" width="24.1328125" style="17" customWidth="1"/>
    <col min="3" max="5" width="15.6640625" style="18" customWidth="1"/>
    <col min="6" max="6" width="14.19921875" style="18" customWidth="1"/>
    <col min="7" max="9" width="13.33203125" style="18" customWidth="1"/>
    <col min="10" max="11" width="9.1328125" style="18"/>
    <col min="12" max="12" width="20.1328125" style="19" hidden="1" customWidth="1"/>
    <col min="13" max="13" width="13.3984375" style="19" hidden="1" customWidth="1"/>
    <col min="14" max="14" width="10.6640625" style="19" hidden="1" customWidth="1"/>
    <col min="15" max="15" width="22.73046875" style="18" hidden="1" customWidth="1"/>
    <col min="16" max="16" width="4.86328125" style="18" hidden="1" customWidth="1"/>
    <col min="17" max="16384" width="9.1328125" style="18"/>
  </cols>
  <sheetData>
    <row r="1" spans="2:17" ht="9" customHeight="1" x14ac:dyDescent="0.5"/>
    <row r="2" spans="2:17" s="23" customFormat="1" ht="101.25" customHeight="1" x14ac:dyDescent="0.5">
      <c r="B2" s="20" t="s">
        <v>67</v>
      </c>
      <c r="C2" s="21"/>
      <c r="D2" s="21"/>
      <c r="E2" s="21"/>
      <c r="F2" s="21"/>
      <c r="G2" s="22"/>
      <c r="H2" s="22"/>
      <c r="I2" s="22"/>
      <c r="L2" s="24"/>
      <c r="M2" s="24"/>
      <c r="N2" s="24"/>
    </row>
    <row r="3" spans="2:17" ht="18" customHeight="1" x14ac:dyDescent="0.5"/>
    <row r="4" spans="2:17" ht="266.25" customHeight="1" x14ac:dyDescent="0.5">
      <c r="B4" s="25" t="s">
        <v>0</v>
      </c>
    </row>
    <row r="5" spans="2:17" ht="18" customHeight="1" x14ac:dyDescent="0.5">
      <c r="J5" s="18" t="s">
        <v>98</v>
      </c>
    </row>
    <row r="6" spans="2:17" ht="29.25" customHeight="1" x14ac:dyDescent="0.5">
      <c r="B6" s="26" t="s">
        <v>68</v>
      </c>
      <c r="C6" s="27" t="s">
        <v>1</v>
      </c>
      <c r="D6" s="27" t="s">
        <v>81</v>
      </c>
      <c r="E6" s="27" t="s">
        <v>82</v>
      </c>
      <c r="F6" s="27" t="s">
        <v>83</v>
      </c>
      <c r="G6" s="26" t="s">
        <v>4</v>
      </c>
      <c r="H6" s="26" t="s">
        <v>107</v>
      </c>
      <c r="I6" s="49" t="s">
        <v>108</v>
      </c>
      <c r="J6" s="18" t="s">
        <v>94</v>
      </c>
      <c r="K6" s="18" t="s">
        <v>95</v>
      </c>
      <c r="L6" s="19" t="s">
        <v>6</v>
      </c>
      <c r="M6" s="18" t="s">
        <v>1</v>
      </c>
      <c r="N6" s="18" t="s">
        <v>2</v>
      </c>
      <c r="O6" s="28" t="s">
        <v>17</v>
      </c>
      <c r="P6" s="18" t="s">
        <v>18</v>
      </c>
      <c r="Q6" s="18" t="s">
        <v>96</v>
      </c>
    </row>
    <row r="7" spans="2:17" ht="21" customHeight="1" x14ac:dyDescent="0.5">
      <c r="B7" s="17" t="s">
        <v>69</v>
      </c>
      <c r="C7" s="18">
        <v>50</v>
      </c>
      <c r="D7" s="34">
        <v>0.04</v>
      </c>
      <c r="E7" s="35">
        <f>TBL_Summary13[[#This Row],[应得利息]]-TBL_Summary13[[#This Row],[应得利息]]*20%</f>
        <v>1333.3333333333333</v>
      </c>
      <c r="F7" s="35">
        <f>TBL_Summary13[[#This Row],[利率]]*TBL_Summary13[[#This Row],[估计费用]]/12 * 10000</f>
        <v>1666.6666666666665</v>
      </c>
      <c r="G7" s="29">
        <f>TBL_Summary13[[#This Row],[估计费用]]/SUM(TBL_Summary13[估计费用])</f>
        <v>0.10741138560687433</v>
      </c>
      <c r="H7" s="29">
        <v>0</v>
      </c>
      <c r="I7" s="52">
        <f>TBL_Summary13[[#This Row],[估计费用]]*TBL_Summary13[[#This Row],[积分]]/12*10000</f>
        <v>0</v>
      </c>
      <c r="K7" s="50" t="s">
        <v>97</v>
      </c>
      <c r="L7" s="19" t="s">
        <v>7</v>
      </c>
      <c r="M7" s="18">
        <f>TBL_Reception[[#Totals],[估计费用]]</f>
        <v>14500</v>
      </c>
      <c r="N7" s="18">
        <f>TBL_Reception[[#Totals],[实际费用]]</f>
        <v>12800</v>
      </c>
      <c r="O7" s="18" t="e">
        <f>M7-#REF!/100</f>
        <v>#REF!</v>
      </c>
      <c r="P7" s="18" t="e">
        <f>_xlfn.RANK.AVG(O7,$O$7:$O$26)</f>
        <v>#REF!</v>
      </c>
    </row>
    <row r="8" spans="2:17" ht="21" customHeight="1" x14ac:dyDescent="0.5">
      <c r="B8" s="17" t="s">
        <v>70</v>
      </c>
      <c r="C8" s="18">
        <v>67.5</v>
      </c>
      <c r="D8" s="34">
        <v>4.5999999999999999E-2</v>
      </c>
      <c r="E8" s="35">
        <f>TBL_Summary13[[#This Row],[应得利息]]-TBL_Summary13[[#This Row],[应得利息]]*20%</f>
        <v>2070</v>
      </c>
      <c r="F8" s="35">
        <f>TBL_Summary13[[#This Row],[利率]]*TBL_Summary13[[#This Row],[估计费用]]/12 * 10000</f>
        <v>2587.5</v>
      </c>
      <c r="G8" s="29">
        <f>TBL_Summary13[[#This Row],[估计费用]]/SUM(TBL_Summary13[估计费用])</f>
        <v>0.14500537056928034</v>
      </c>
      <c r="H8" s="29">
        <v>0.03</v>
      </c>
      <c r="I8" s="52">
        <f>TBL_Summary13[[#This Row],[估计费用]]*TBL_Summary13[[#This Row],[积分]]/12*10000</f>
        <v>1687.4999999999998</v>
      </c>
      <c r="L8" s="19" t="s">
        <v>8</v>
      </c>
      <c r="M8" s="18">
        <f>TBL_Attire[[#Totals],[估计费用]]</f>
        <v>4000</v>
      </c>
      <c r="N8" s="18">
        <f>TBL_Attire[[#Totals],[实际费用]]</f>
        <v>2900</v>
      </c>
      <c r="O8" s="18" t="e">
        <f>M8-#REF!/100</f>
        <v>#REF!</v>
      </c>
      <c r="P8" s="18" t="e">
        <f>_xlfn.RANK.AVG(O8,$O$7:$O$26)</f>
        <v>#REF!</v>
      </c>
    </row>
    <row r="9" spans="2:17" ht="21" customHeight="1" x14ac:dyDescent="0.5">
      <c r="B9" s="17" t="s">
        <v>71</v>
      </c>
      <c r="C9" s="18">
        <v>50</v>
      </c>
      <c r="D9" s="34">
        <v>4.5999999999999999E-2</v>
      </c>
      <c r="E9" s="35">
        <f>TBL_Summary13[[#This Row],[应得利息]]-TBL_Summary13[[#This Row],[应得利息]]*20%</f>
        <v>1533.3333333333333</v>
      </c>
      <c r="F9" s="35">
        <f>TBL_Summary13[[#This Row],[利率]]*TBL_Summary13[[#This Row],[估计费用]]/12 * 10000</f>
        <v>1916.6666666666665</v>
      </c>
      <c r="G9" s="29">
        <f>TBL_Summary13[[#This Row],[估计费用]]/SUM(TBL_Summary13[估计费用])</f>
        <v>0.10741138560687433</v>
      </c>
      <c r="H9" s="29">
        <v>0.03</v>
      </c>
      <c r="I9" s="52">
        <f>TBL_Summary13[[#This Row],[估计费用]]*TBL_Summary13[[#This Row],[积分]]/12*10000</f>
        <v>1250</v>
      </c>
      <c r="L9" s="19" t="s">
        <v>9</v>
      </c>
      <c r="M9" s="18">
        <f>TBL_FlowersAndDecor[[#Totals],[估计费用]]</f>
        <v>3000</v>
      </c>
      <c r="N9" s="18">
        <f>TBL_FlowersAndDecor[[#Totals],[实际费用]]</f>
        <v>0</v>
      </c>
      <c r="O9" s="18" t="e">
        <f>M9-#REF!/100</f>
        <v>#REF!</v>
      </c>
      <c r="P9" s="18" t="e">
        <f>_xlfn.RANK.AVG(O9,$O$7:$O$26)</f>
        <v>#REF!</v>
      </c>
    </row>
    <row r="10" spans="2:17" ht="21" customHeight="1" x14ac:dyDescent="0.5">
      <c r="B10" s="17" t="s">
        <v>72</v>
      </c>
      <c r="C10" s="18">
        <v>40</v>
      </c>
      <c r="D10" s="34">
        <v>0.04</v>
      </c>
      <c r="E10" s="35">
        <f>TBL_Summary13[[#This Row],[应得利息]]-TBL_Summary13[[#This Row],[应得利息]]*20%</f>
        <v>1066.6666666666665</v>
      </c>
      <c r="F10" s="35">
        <f>TBL_Summary13[[#This Row],[利率]]*TBL_Summary13[[#This Row],[估计费用]]/12 * 10000</f>
        <v>1333.3333333333333</v>
      </c>
      <c r="G10" s="29">
        <f>TBL_Summary13[[#This Row],[估计费用]]/SUM(TBL_Summary13[估计费用])</f>
        <v>8.5929108485499464E-2</v>
      </c>
      <c r="H10" s="29">
        <v>0</v>
      </c>
      <c r="I10" s="52">
        <f>TBL_Summary13[[#This Row],[估计费用]]*TBL_Summary13[[#This Row],[积分]]/12*10000</f>
        <v>0</v>
      </c>
      <c r="L10" s="19" t="s">
        <v>10</v>
      </c>
      <c r="M10" s="18">
        <f>TBL_Music[[#Totals],[估计费用]]</f>
        <v>1800</v>
      </c>
      <c r="N10" s="18">
        <f>TBL_Music[[#Totals],[实际费用]]</f>
        <v>0</v>
      </c>
      <c r="O10" s="18" t="e">
        <f>M10-#REF!/100</f>
        <v>#REF!</v>
      </c>
      <c r="P10" s="18" t="e">
        <f>_xlfn.RANK.AVG(O10,$O$7:$O$26)</f>
        <v>#REF!</v>
      </c>
    </row>
    <row r="11" spans="2:17" ht="21" customHeight="1" x14ac:dyDescent="0.5">
      <c r="B11" s="17" t="s">
        <v>73</v>
      </c>
      <c r="C11" s="18">
        <v>30</v>
      </c>
      <c r="D11" s="34">
        <v>0.04</v>
      </c>
      <c r="E11" s="35">
        <f>TBL_Summary13[[#This Row],[应得利息]]-TBL_Summary13[[#This Row],[应得利息]]*20%</f>
        <v>799.99999999999989</v>
      </c>
      <c r="F11" s="35">
        <f>TBL_Summary13[[#This Row],[利率]]*TBL_Summary13[[#This Row],[估计费用]]/12 * 10000</f>
        <v>999.99999999999989</v>
      </c>
      <c r="G11" s="29">
        <f>TBL_Summary13[[#This Row],[估计费用]]/SUM(TBL_Summary13[估计费用])</f>
        <v>6.4446831364124602E-2</v>
      </c>
      <c r="H11" s="29">
        <v>0</v>
      </c>
      <c r="I11" s="52">
        <f>TBL_Summary13[[#This Row],[估计费用]]*TBL_Summary13[[#This Row],[积分]]/12*10000</f>
        <v>0</v>
      </c>
      <c r="L11" s="19" t="s">
        <v>11</v>
      </c>
      <c r="M11" s="18">
        <f>TBL_PhotographsAndVideo[[#Totals],[估计费用]]</f>
        <v>2500</v>
      </c>
      <c r="N11" s="18">
        <f>TBL_PhotographsAndVideo[[#Totals],[实际费用]]</f>
        <v>0</v>
      </c>
      <c r="O11" s="18" t="e">
        <f>M11-#REF!/100</f>
        <v>#REF!</v>
      </c>
      <c r="P11" s="18" t="e">
        <f>_xlfn.RANK.AVG(O11,$O$7:$O$26)</f>
        <v>#REF!</v>
      </c>
    </row>
    <row r="12" spans="2:17" ht="21" customHeight="1" x14ac:dyDescent="0.5">
      <c r="B12" s="17" t="s">
        <v>86</v>
      </c>
      <c r="C12" s="18">
        <v>0</v>
      </c>
      <c r="D12" s="34">
        <v>4.0500000000000001E-2</v>
      </c>
      <c r="E12" s="35">
        <f>TBL_Summary13[[#This Row],[应得利息]]-TBL_Summary13[[#This Row],[应得利息]]*20%</f>
        <v>0</v>
      </c>
      <c r="F12" s="35">
        <f>TBL_Summary13[[#This Row],[利率]]*TBL_Summary13[[#This Row],[估计费用]]/12 * 10000</f>
        <v>0</v>
      </c>
      <c r="G12" s="29">
        <f>TBL_Summary13[[#This Row],[估计费用]]/SUM(TBL_Summary13[估计费用])</f>
        <v>0</v>
      </c>
      <c r="H12" s="29">
        <v>0</v>
      </c>
      <c r="I12" s="52">
        <f>TBL_Summary13[[#This Row],[估计费用]]*TBL_Summary13[[#This Row],[积分]]/12*10000</f>
        <v>0</v>
      </c>
      <c r="M12" s="18"/>
      <c r="N12" s="18"/>
    </row>
    <row r="13" spans="2:17" ht="21" customHeight="1" x14ac:dyDescent="0.5">
      <c r="B13" s="17" t="s">
        <v>99</v>
      </c>
      <c r="C13" s="18">
        <v>48</v>
      </c>
      <c r="D13" s="34">
        <v>4.4499999999999998E-2</v>
      </c>
      <c r="E13" s="35">
        <f>TBL_Summary13[[#This Row],[应得利息]]-TBL_Summary13[[#This Row],[应得利息]]*20%</f>
        <v>1424.0000000000002</v>
      </c>
      <c r="F13" s="35">
        <f>TBL_Summary13[[#This Row],[利率]]*TBL_Summary13[[#This Row],[估计费用]]/12 * 10000</f>
        <v>1780.0000000000002</v>
      </c>
      <c r="G13" s="29">
        <f>TBL_Summary13[[#This Row],[估计费用]]/SUM(TBL_Summary13[估计费用])</f>
        <v>0.10311493018259936</v>
      </c>
      <c r="H13" s="29">
        <v>0.03</v>
      </c>
      <c r="I13" s="52">
        <f>TBL_Summary13[[#This Row],[估计费用]]*TBL_Summary13[[#This Row],[积分]]/12*10000</f>
        <v>1200</v>
      </c>
      <c r="M13" s="18"/>
      <c r="N13" s="18"/>
    </row>
    <row r="14" spans="2:17" ht="21" customHeight="1" x14ac:dyDescent="0.5">
      <c r="B14" s="17" t="s">
        <v>100</v>
      </c>
      <c r="C14" s="18">
        <v>40</v>
      </c>
      <c r="D14" s="34">
        <v>4.4499999999999998E-2</v>
      </c>
      <c r="E14" s="35">
        <f>TBL_Summary13[[#This Row],[应得利息]]-TBL_Summary13[[#This Row],[应得利息]]*20%</f>
        <v>1186.6666666666665</v>
      </c>
      <c r="F14" s="35">
        <f>TBL_Summary13[[#This Row],[利率]]*TBL_Summary13[[#This Row],[估计费用]]/12 * 10000</f>
        <v>1483.3333333333333</v>
      </c>
      <c r="G14" s="29">
        <f>TBL_Summary13[[#This Row],[估计费用]]/SUM(TBL_Summary13[估计费用])</f>
        <v>8.5929108485499464E-2</v>
      </c>
      <c r="H14" s="29">
        <v>0.03</v>
      </c>
      <c r="I14" s="52">
        <f>TBL_Summary13[[#This Row],[估计费用]]*TBL_Summary13[[#This Row],[积分]]/12*10000</f>
        <v>999.99999999999989</v>
      </c>
      <c r="M14" s="18"/>
      <c r="N14" s="18"/>
    </row>
    <row r="15" spans="2:17" ht="21" customHeight="1" x14ac:dyDescent="0.5">
      <c r="B15" s="17" t="s">
        <v>103</v>
      </c>
      <c r="C15" s="18">
        <v>37</v>
      </c>
      <c r="D15" s="34">
        <v>4.4499999999999998E-2</v>
      </c>
      <c r="E15" s="35">
        <f>TBL_Summary13[[#This Row],[应得利息]]-TBL_Summary13[[#This Row],[应得利息]]*20%</f>
        <v>1097.6666666666665</v>
      </c>
      <c r="F15" s="35">
        <f>TBL_Summary13[[#This Row],[利率]]*TBL_Summary13[[#This Row],[估计费用]]/12 * 10000</f>
        <v>1372.0833333333333</v>
      </c>
      <c r="G15" s="29">
        <f>TBL_Summary13[[#This Row],[估计费用]]/SUM(TBL_Summary13[估计费用])</f>
        <v>7.9484425349087007E-2</v>
      </c>
      <c r="H15" s="29">
        <v>0.03</v>
      </c>
      <c r="I15" s="52">
        <f>TBL_Summary13[[#This Row],[估计费用]]*TBL_Summary13[[#This Row],[积分]]/12*10000</f>
        <v>924.99999999999989</v>
      </c>
      <c r="M15" s="18"/>
      <c r="N15" s="18"/>
    </row>
    <row r="16" spans="2:17" ht="21" customHeight="1" x14ac:dyDescent="0.5">
      <c r="B16" s="17" t="s">
        <v>74</v>
      </c>
      <c r="C16" s="18">
        <v>12</v>
      </c>
      <c r="D16" s="34">
        <v>0.04</v>
      </c>
      <c r="E16" s="35">
        <f>TBL_Summary13[[#This Row],[应得利息]]-TBL_Summary13[[#This Row],[应得利息]]*20%</f>
        <v>320</v>
      </c>
      <c r="F16" s="35">
        <f>TBL_Summary13[[#This Row],[利率]]*TBL_Summary13[[#This Row],[估计费用]]/12 * 10000</f>
        <v>400</v>
      </c>
      <c r="G16" s="29">
        <f>TBL_Summary13[[#This Row],[估计费用]]/SUM(TBL_Summary13[估计费用])</f>
        <v>2.577873254564984E-2</v>
      </c>
      <c r="H16" s="29">
        <v>0</v>
      </c>
      <c r="I16" s="52">
        <f>TBL_Summary13[[#This Row],[估计费用]]*TBL_Summary13[[#This Row],[积分]]/12*10000</f>
        <v>0</v>
      </c>
      <c r="L16" s="19" t="s">
        <v>12</v>
      </c>
      <c r="M16" s="18">
        <f>TBL_FavorsAndGifts[[#Totals],[估计费用]]</f>
        <v>1100</v>
      </c>
      <c r="N16" s="18">
        <f>TBL_FavorsAndGifts[[#Totals],[实际费用]]</f>
        <v>0</v>
      </c>
      <c r="O16" s="18" t="e">
        <f>M16-#REF!/100</f>
        <v>#REF!</v>
      </c>
      <c r="P16" s="18" t="e">
        <f>_xlfn.RANK.AVG(O16,$O$7:$O$26)</f>
        <v>#REF!</v>
      </c>
    </row>
    <row r="17" spans="2:16" ht="21" customHeight="1" x14ac:dyDescent="0.5">
      <c r="B17" s="17" t="s">
        <v>84</v>
      </c>
      <c r="C17" s="18">
        <v>15</v>
      </c>
      <c r="D17" s="34">
        <v>0.04</v>
      </c>
      <c r="E17" s="35">
        <f>TBL_Summary13[[#This Row],[应得利息]]-TBL_Summary13[[#This Row],[应得利息]]*20%</f>
        <v>399.99999999999994</v>
      </c>
      <c r="F17" s="35">
        <f>TBL_Summary13[[#This Row],[利率]]*TBL_Summary13[[#This Row],[估计费用]]/12 * 10000</f>
        <v>499.99999999999994</v>
      </c>
      <c r="G17" s="29">
        <f>TBL_Summary13[[#This Row],[估计费用]]/SUM(TBL_Summary13[估计费用])</f>
        <v>3.2223415682062301E-2</v>
      </c>
      <c r="H17" s="29">
        <v>0</v>
      </c>
      <c r="I17" s="52">
        <f>TBL_Summary13[[#This Row],[估计费用]]*TBL_Summary13[[#This Row],[积分]]/12*10000</f>
        <v>0</v>
      </c>
      <c r="L17" s="19" t="s">
        <v>13</v>
      </c>
      <c r="M17" s="18">
        <f>TBL_Ceremony[[#Totals],[估计费用]]</f>
        <v>800</v>
      </c>
      <c r="N17" s="18">
        <f>TBL_Ceremony[[#Totals],[实际费用]]</f>
        <v>0</v>
      </c>
      <c r="O17" s="18" t="e">
        <f>M17-#REF!/100</f>
        <v>#REF!</v>
      </c>
      <c r="P17" s="18" t="e">
        <f>_xlfn.RANK.AVG(O17,$O$7:$O$26)</f>
        <v>#REF!</v>
      </c>
    </row>
    <row r="18" spans="2:16" ht="21" customHeight="1" x14ac:dyDescent="0.5">
      <c r="B18" s="17" t="s">
        <v>75</v>
      </c>
      <c r="C18" s="18">
        <v>0</v>
      </c>
      <c r="D18" s="34">
        <v>4.2999999999999997E-2</v>
      </c>
      <c r="E18" s="35">
        <f>TBL_Summary13[[#This Row],[应得利息]]-TBL_Summary13[[#This Row],[应得利息]]*20%</f>
        <v>0</v>
      </c>
      <c r="F18" s="35">
        <f>TBL_Summary13[[#This Row],[利率]]*TBL_Summary13[[#This Row],[估计费用]]/12 * 10000</f>
        <v>0</v>
      </c>
      <c r="G18" s="29">
        <f>TBL_Summary13[[#This Row],[估计费用]]/SUM(TBL_Summary13[估计费用])</f>
        <v>0</v>
      </c>
      <c r="H18" s="29">
        <v>0</v>
      </c>
      <c r="I18" s="52">
        <f>TBL_Summary13[[#This Row],[估计费用]]*TBL_Summary13[[#This Row],[积分]]/12*10000</f>
        <v>0</v>
      </c>
      <c r="L18" s="19" t="s">
        <v>14</v>
      </c>
      <c r="M18" s="18">
        <f>TBL_Stationery[[#Totals],[估计费用]]</f>
        <v>500</v>
      </c>
      <c r="N18" s="18">
        <f>TBL_Stationery[[#Totals],[实际费用]]</f>
        <v>0</v>
      </c>
      <c r="O18" s="18" t="e">
        <f>M18-#REF!/100</f>
        <v>#REF!</v>
      </c>
      <c r="P18" s="18" t="e">
        <f>_xlfn.RANK.AVG(O18,$O$7:$O$26)</f>
        <v>#REF!</v>
      </c>
    </row>
    <row r="19" spans="2:16" ht="21" customHeight="1" x14ac:dyDescent="0.5">
      <c r="B19" s="17" t="s">
        <v>76</v>
      </c>
      <c r="C19" s="18">
        <v>0</v>
      </c>
      <c r="D19" s="34">
        <v>0.02</v>
      </c>
      <c r="E19" s="35">
        <f>TBL_Summary13[[#This Row],[应得利息]]-TBL_Summary13[[#This Row],[应得利息]]*20%</f>
        <v>0</v>
      </c>
      <c r="F19" s="35">
        <f>TBL_Summary13[[#This Row],[利率]]*TBL_Summary13[[#This Row],[估计费用]]/12 * 10000</f>
        <v>0</v>
      </c>
      <c r="G19" s="29">
        <f>TBL_Summary13[[#This Row],[估计费用]]/SUM(TBL_Summary13[估计费用])</f>
        <v>0</v>
      </c>
      <c r="H19" s="29">
        <v>0</v>
      </c>
      <c r="I19" s="52">
        <f>TBL_Summary13[[#This Row],[估计费用]]*TBL_Summary13[[#This Row],[积分]]/12*10000</f>
        <v>0</v>
      </c>
      <c r="L19" s="19" t="s">
        <v>15</v>
      </c>
      <c r="M19" s="18">
        <f>TBL_WeddingRings[[#Totals],[估计费用]]</f>
        <v>600</v>
      </c>
      <c r="N19" s="18">
        <f>TBL_WeddingRings[[#Totals],[实际费用]]</f>
        <v>0</v>
      </c>
      <c r="O19" s="18" t="e">
        <f>M19-#REF!/100</f>
        <v>#REF!</v>
      </c>
      <c r="P19" s="18" t="e">
        <f>_xlfn.RANK.AVG(O19,$O$7:$O$26)</f>
        <v>#REF!</v>
      </c>
    </row>
    <row r="20" spans="2:16" ht="21" customHeight="1" x14ac:dyDescent="0.5">
      <c r="B20" s="17" t="s">
        <v>77</v>
      </c>
      <c r="C20" s="18">
        <v>18.5</v>
      </c>
      <c r="D20" s="34">
        <v>0</v>
      </c>
      <c r="E20" s="35">
        <f>TBL_Summary13[[#This Row],[应得利息]]-TBL_Summary13[[#This Row],[应得利息]]*20%</f>
        <v>0</v>
      </c>
      <c r="F20" s="35">
        <f>TBL_Summary13[[#This Row],[利率]]*TBL_Summary13[[#This Row],[估计费用]]/12 * 10000</f>
        <v>0</v>
      </c>
      <c r="G20" s="29">
        <f>TBL_Summary13[[#This Row],[估计费用]]/SUM(TBL_Summary13[估计费用])</f>
        <v>3.9742212674543503E-2</v>
      </c>
      <c r="H20" s="29">
        <v>0</v>
      </c>
      <c r="I20" s="52">
        <f>TBL_Summary13[[#This Row],[估计费用]]*TBL_Summary13[[#This Row],[积分]]/12*10000</f>
        <v>0</v>
      </c>
      <c r="M20" s="18"/>
      <c r="N20" s="18"/>
    </row>
    <row r="21" spans="2:16" ht="21" customHeight="1" x14ac:dyDescent="0.5">
      <c r="B21" s="17" t="s">
        <v>78</v>
      </c>
      <c r="C21" s="18">
        <v>3</v>
      </c>
      <c r="D21" s="34">
        <v>-5.5E-2</v>
      </c>
      <c r="E21" s="35">
        <v>-200</v>
      </c>
      <c r="F21" s="35">
        <f>TBL_Summary13[[#This Row],[利率]]*TBL_Summary13[[#This Row],[估计费用]]/12 * 10000</f>
        <v>-137.5</v>
      </c>
      <c r="G21" s="29">
        <f>TBL_Summary13[[#This Row],[估计费用]]/SUM(TBL_Summary13[估计费用])</f>
        <v>6.44468313641246E-3</v>
      </c>
      <c r="H21" s="29">
        <v>0</v>
      </c>
      <c r="I21" s="52">
        <f>TBL_Summary13[[#This Row],[估计费用]]*TBL_Summary13[[#This Row],[积分]]/12*10000</f>
        <v>0</v>
      </c>
      <c r="M21" s="18"/>
      <c r="N21" s="18"/>
    </row>
    <row r="22" spans="2:16" ht="21" customHeight="1" x14ac:dyDescent="0.5">
      <c r="B22" s="17" t="s">
        <v>79</v>
      </c>
      <c r="C22" s="18">
        <v>4</v>
      </c>
      <c r="D22" s="34">
        <v>-7.0000000000000007E-2</v>
      </c>
      <c r="E22" s="35">
        <v>-200</v>
      </c>
      <c r="F22" s="35">
        <f>TBL_Summary13[[#This Row],[利率]]*TBL_Summary13[[#This Row],[估计费用]]/12 * 10000</f>
        <v>-233.33333333333334</v>
      </c>
      <c r="G22" s="29">
        <f>TBL_Summary13[[#This Row],[估计费用]]/SUM(TBL_Summary13[估计费用])</f>
        <v>8.5929108485499461E-3</v>
      </c>
      <c r="H22" s="29">
        <v>0</v>
      </c>
      <c r="I22" s="52">
        <f>TBL_Summary13[[#This Row],[估计费用]]*TBL_Summary13[[#This Row],[积分]]/12*10000</f>
        <v>0</v>
      </c>
      <c r="M22" s="18"/>
      <c r="N22" s="18"/>
    </row>
    <row r="23" spans="2:16" ht="21" customHeight="1" x14ac:dyDescent="0.5">
      <c r="B23" s="17" t="s">
        <v>106</v>
      </c>
      <c r="C23" s="18">
        <v>4</v>
      </c>
      <c r="D23" s="34">
        <v>0</v>
      </c>
      <c r="E23" s="35">
        <f>TBL_Summary13[[#This Row],[应得利息]]-TBL_Summary13[[#This Row],[应得利息]]*20%</f>
        <v>0</v>
      </c>
      <c r="F23" s="35">
        <f>TBL_Summary13[[#This Row],[利率]]*TBL_Summary13[[#This Row],[估计费用]]/12 * 10000</f>
        <v>0</v>
      </c>
      <c r="G23" s="29">
        <f>TBL_Summary13[[#This Row],[估计费用]]/SUM(TBL_Summary13[估计费用])</f>
        <v>8.5929108485499461E-3</v>
      </c>
      <c r="H23" s="29">
        <v>0</v>
      </c>
      <c r="I23" s="52">
        <f>TBL_Summary13[[#This Row],[估计费用]]*TBL_Summary13[[#This Row],[积分]]/12*10000</f>
        <v>0</v>
      </c>
      <c r="M23" s="18"/>
      <c r="N23" s="18"/>
    </row>
    <row r="24" spans="2:16" ht="21" customHeight="1" x14ac:dyDescent="0.5">
      <c r="B24" s="17" t="s">
        <v>80</v>
      </c>
      <c r="C24" s="18">
        <v>0</v>
      </c>
      <c r="D24" s="34">
        <v>0</v>
      </c>
      <c r="E24" s="35">
        <f>TBL_Summary13[[#This Row],[应得利息]]-TBL_Summary13[[#This Row],[应得利息]]*20%</f>
        <v>0</v>
      </c>
      <c r="F24" s="35">
        <f>TBL_Summary13[[#This Row],[利率]]*TBL_Summary13[[#This Row],[估计费用]]/12 * 10000</f>
        <v>0</v>
      </c>
      <c r="G24" s="29">
        <f>TBL_Summary13[[#This Row],[估计费用]]/SUM(TBL_Summary13[估计费用])</f>
        <v>0</v>
      </c>
      <c r="H24" s="29">
        <v>0</v>
      </c>
      <c r="I24" s="52">
        <f>TBL_Summary13[[#This Row],[估计费用]]*TBL_Summary13[[#This Row],[积分]]/12*10000</f>
        <v>0</v>
      </c>
      <c r="M24" s="18"/>
      <c r="N24" s="18"/>
    </row>
    <row r="25" spans="2:16" ht="21" customHeight="1" x14ac:dyDescent="0.5">
      <c r="B25" s="17" t="s">
        <v>105</v>
      </c>
      <c r="C25" s="18">
        <v>26.5</v>
      </c>
      <c r="D25" s="34">
        <v>0.04</v>
      </c>
      <c r="E25" s="35">
        <f>TBL_Summary13[[#This Row],[应得利息]]-TBL_Summary13[[#This Row],[应得利息]]*20%</f>
        <v>706.66666666666674</v>
      </c>
      <c r="F25" s="35">
        <f>TBL_Summary13[[#This Row],[利率]]*TBL_Summary13[[#This Row],[估计费用]]/12 * 10000</f>
        <v>883.33333333333337</v>
      </c>
      <c r="G25" s="29">
        <f>TBL_Summary13[[#This Row],[估计费用]]/SUM(TBL_Summary13[估计费用])</f>
        <v>5.6928034371643392E-2</v>
      </c>
      <c r="H25" s="29">
        <v>0</v>
      </c>
      <c r="I25" s="52">
        <f>TBL_Summary13[[#This Row],[估计费用]]*TBL_Summary13[[#This Row],[积分]]/12*10000</f>
        <v>0</v>
      </c>
      <c r="L25" s="19" t="s">
        <v>15</v>
      </c>
      <c r="M25" s="18">
        <f>TBL_WeddingRings[[#Totals],[估计费用]]</f>
        <v>600</v>
      </c>
      <c r="N25" s="18">
        <f>TBL_WeddingRings[[#Totals],[实际费用]]</f>
        <v>0</v>
      </c>
      <c r="O25" s="18" t="e">
        <f>M25-#REF!/100</f>
        <v>#REF!</v>
      </c>
      <c r="P25" s="18" t="e">
        <f>_xlfn.RANK.AVG(O25,$O$7:$O$26)</f>
        <v>#REF!</v>
      </c>
    </row>
    <row r="26" spans="2:16" ht="21" customHeight="1" x14ac:dyDescent="0.5">
      <c r="B26" s="17" t="s">
        <v>104</v>
      </c>
      <c r="C26" s="18">
        <v>20</v>
      </c>
      <c r="D26" s="34">
        <v>0.04</v>
      </c>
      <c r="E26" s="35">
        <f>TBL_Summary13[[#This Row],[应得利息]]-TBL_Summary13[[#This Row],[应得利息]]*20%</f>
        <v>533.33333333333326</v>
      </c>
      <c r="F26" s="35">
        <f>TBL_Summary13[[#This Row],[利率]]*TBL_Summary13[[#This Row],[估计费用]]/12 * 10000</f>
        <v>666.66666666666663</v>
      </c>
      <c r="G26" s="29">
        <f>TBL_Summary13[[#This Row],[估计费用]]/SUM(TBL_Summary13[估计费用])</f>
        <v>4.2964554242749732E-2</v>
      </c>
      <c r="H26" s="29">
        <v>0</v>
      </c>
      <c r="I26" s="52">
        <f>TBL_Summary13[[#This Row],[估计费用]]*TBL_Summary13[[#This Row],[积分]]/12*10000</f>
        <v>0</v>
      </c>
      <c r="L26" s="19" t="s">
        <v>15</v>
      </c>
      <c r="M26" s="18">
        <f>TBL_WeddingRings[[#Totals],[估计费用]]</f>
        <v>600</v>
      </c>
      <c r="N26" s="18">
        <f>TBL_WeddingRings[[#Totals],[实际费用]]</f>
        <v>0</v>
      </c>
      <c r="O26" s="18" t="e">
        <f>M26-#REF!/100</f>
        <v>#REF!</v>
      </c>
      <c r="P26" s="18" t="e">
        <f>_xlfn.RANK.AVG(O26,$O$7:$O$26)</f>
        <v>#REF!</v>
      </c>
    </row>
    <row r="27" spans="2:16" ht="21" customHeight="1" x14ac:dyDescent="0.5">
      <c r="B27" s="30" t="s">
        <v>65</v>
      </c>
      <c r="C27" s="36">
        <f>SUBTOTAL(109,TBL_Summary13[估计费用])</f>
        <v>465.5</v>
      </c>
      <c r="D27" s="31">
        <f>SUBTOTAL(109,TBL_Summary13[利率])</f>
        <v>0.48399999999999987</v>
      </c>
      <c r="E27" s="31">
        <f>SUM(E7:E26)</f>
        <v>12071.666666666664</v>
      </c>
      <c r="F27" s="31">
        <f>SUM(F7:F26)</f>
        <v>15218.749999999998</v>
      </c>
      <c r="G27" s="32">
        <f>SUBTOTAL(109,TBL_Summary13[预算百分比])</f>
        <v>1</v>
      </c>
      <c r="H27" s="51"/>
      <c r="I27" s="53">
        <f>SUM(I7:I26)</f>
        <v>6062.5</v>
      </c>
    </row>
    <row r="29" spans="2:16" s="39" customFormat="1" ht="29.25" customHeight="1" x14ac:dyDescent="0.5">
      <c r="B29" s="37" t="s">
        <v>88</v>
      </c>
      <c r="C29" s="38" t="s">
        <v>89</v>
      </c>
      <c r="D29" s="38" t="s">
        <v>81</v>
      </c>
      <c r="E29" s="38" t="s">
        <v>82</v>
      </c>
      <c r="F29" s="38" t="s">
        <v>83</v>
      </c>
      <c r="G29" s="37" t="s">
        <v>4</v>
      </c>
      <c r="H29" s="37"/>
      <c r="I29" s="37" t="s">
        <v>4</v>
      </c>
      <c r="L29" s="40" t="s">
        <v>6</v>
      </c>
      <c r="M29" s="39" t="s">
        <v>1</v>
      </c>
      <c r="N29" s="39" t="s">
        <v>2</v>
      </c>
      <c r="O29" s="41" t="s">
        <v>17</v>
      </c>
      <c r="P29" s="39" t="s">
        <v>18</v>
      </c>
    </row>
    <row r="30" spans="2:16" ht="21" customHeight="1" x14ac:dyDescent="0.5">
      <c r="B30" s="18" t="s">
        <v>90</v>
      </c>
      <c r="C30" s="18">
        <v>35</v>
      </c>
      <c r="D30" s="47">
        <v>0.04</v>
      </c>
      <c r="E30" s="18">
        <v>1000</v>
      </c>
      <c r="F30" s="18">
        <f>C30*D30/12*10000</f>
        <v>1166.6666666666667</v>
      </c>
      <c r="G30" s="46" cm="1">
        <f t="array" ref="G30:G36">C30:C36/C37</f>
        <v>7.3298429319371722E-2</v>
      </c>
      <c r="H30" s="46"/>
      <c r="I30" s="46" t="e" cm="1">
        <f t="array" ref="I30:I36">D30:D36/D37</f>
        <v>#VALUE!</v>
      </c>
    </row>
    <row r="31" spans="2:16" ht="21" customHeight="1" x14ac:dyDescent="0.5">
      <c r="B31" s="18" t="s">
        <v>90</v>
      </c>
      <c r="C31" s="18">
        <v>4</v>
      </c>
      <c r="D31" s="47">
        <v>0</v>
      </c>
      <c r="E31" s="18">
        <v>0</v>
      </c>
      <c r="F31" s="18">
        <f t="shared" ref="F31" si="0">C31*D31/12*10000</f>
        <v>0</v>
      </c>
      <c r="G31" s="46">
        <v>8.3769633507853412E-3</v>
      </c>
      <c r="H31" s="46"/>
      <c r="I31" s="46" t="e">
        <v>#VALUE!</v>
      </c>
    </row>
    <row r="32" spans="2:16" ht="21" customHeight="1" x14ac:dyDescent="0.5">
      <c r="B32" s="18" t="s">
        <v>91</v>
      </c>
      <c r="C32" s="18">
        <v>220</v>
      </c>
      <c r="D32" s="47">
        <v>0.04</v>
      </c>
      <c r="E32" s="18">
        <v>5600</v>
      </c>
      <c r="F32" s="18">
        <f t="shared" ref="F32:F36" si="1">C32*D32/12*10000</f>
        <v>7333.3333333333339</v>
      </c>
      <c r="G32" s="46">
        <v>0.4607329842931937</v>
      </c>
      <c r="H32" s="46"/>
      <c r="I32" s="46" t="e">
        <v>#VALUE!</v>
      </c>
    </row>
    <row r="33" spans="2:10" ht="21" customHeight="1" x14ac:dyDescent="0.5">
      <c r="B33" s="18" t="s">
        <v>92</v>
      </c>
      <c r="C33" s="18">
        <v>52</v>
      </c>
      <c r="D33" s="47">
        <v>0.04</v>
      </c>
      <c r="E33" s="18">
        <v>1600</v>
      </c>
      <c r="F33" s="18">
        <f t="shared" si="1"/>
        <v>1733.3333333333335</v>
      </c>
      <c r="G33" s="46">
        <v>0.10890052356020942</v>
      </c>
      <c r="H33" s="46"/>
      <c r="I33" s="46" t="e">
        <v>#VALUE!</v>
      </c>
    </row>
    <row r="34" spans="2:10" ht="21" customHeight="1" x14ac:dyDescent="0.5">
      <c r="B34" s="18" t="s">
        <v>93</v>
      </c>
      <c r="C34" s="18">
        <v>18.5</v>
      </c>
      <c r="D34" s="34">
        <v>0</v>
      </c>
      <c r="E34" s="18">
        <v>0</v>
      </c>
      <c r="F34" s="18">
        <f t="shared" si="1"/>
        <v>0</v>
      </c>
      <c r="G34" s="46">
        <v>3.8743455497382201E-2</v>
      </c>
      <c r="H34" s="46"/>
      <c r="I34" s="46" t="e">
        <v>#VALUE!</v>
      </c>
    </row>
    <row r="35" spans="2:10" ht="21" customHeight="1" x14ac:dyDescent="0.5">
      <c r="B35" s="18" t="s">
        <v>93</v>
      </c>
      <c r="C35" s="18">
        <v>140</v>
      </c>
      <c r="D35" s="34">
        <v>4.2999999999999997E-2</v>
      </c>
      <c r="E35" s="18">
        <v>4000</v>
      </c>
      <c r="F35" s="18">
        <f t="shared" ref="F35" si="2">C35*D35/12*10000</f>
        <v>5016.6666666666661</v>
      </c>
      <c r="G35" s="46">
        <v>0.29319371727748689</v>
      </c>
      <c r="H35" s="46"/>
      <c r="I35" s="46" t="e">
        <v>#VALUE!</v>
      </c>
      <c r="J35" s="18" t="s">
        <v>101</v>
      </c>
    </row>
    <row r="36" spans="2:10" ht="21" customHeight="1" x14ac:dyDescent="0.5">
      <c r="B36" s="18" t="s">
        <v>93</v>
      </c>
      <c r="C36" s="18">
        <v>8</v>
      </c>
      <c r="D36" s="34">
        <v>-0.1</v>
      </c>
      <c r="E36" s="18">
        <v>-700</v>
      </c>
      <c r="F36" s="18">
        <f t="shared" si="1"/>
        <v>-666.66666666666663</v>
      </c>
      <c r="G36" s="46">
        <v>1.6753926701570682E-2</v>
      </c>
      <c r="H36" s="46"/>
      <c r="I36" s="46" t="e">
        <v>#VALUE!</v>
      </c>
    </row>
    <row r="37" spans="2:10" s="39" customFormat="1" ht="21" customHeight="1" x14ac:dyDescent="0.5">
      <c r="B37" s="45" t="s">
        <v>65</v>
      </c>
      <c r="C37" s="42">
        <f>SUM(C30:C36)</f>
        <v>477.5</v>
      </c>
      <c r="D37" s="48" t="s">
        <v>102</v>
      </c>
      <c r="E37" s="43">
        <f>SUM(E30:E36)</f>
        <v>11500</v>
      </c>
      <c r="F37" s="43">
        <f>SUM(F30:F36)</f>
        <v>14583.333333333334</v>
      </c>
      <c r="G37" s="44">
        <f>SUM(G30:G36)</f>
        <v>1</v>
      </c>
      <c r="H37" s="44"/>
      <c r="I37" s="44"/>
    </row>
  </sheetData>
  <phoneticPr fontId="34" type="noConversion"/>
  <dataValidations count="6">
    <dataValidation allowBlank="1" showInputMessage="1" showErrorMessage="1" prompt="自动计算预算百分比。_x000a__x000a_这将根据预估总费用显示细目。" sqref="G29:I29 G6:I6" xr:uid="{AD415222-F343-4409-9CBC-02D7C367470C}"/>
    <dataValidation allowBlank="1" showInputMessage="1" showErrorMessage="1" prompt="自动计算差额。_x000a__x000a_这将显示预估费用与实际费用之间的差额。" sqref="F6 F29" xr:uid="{1E5436F1-DA91-44D2-81AE-CD47E0487730}"/>
    <dataValidation allowBlank="1" showInputMessage="1" showErrorMessage="1" prompt="自动计算实际费用。_x000a__x000a_从“预算详细信息”选项卡中读取数据。" sqref="D6:E6 D29:E29" xr:uid="{33D7A882-6A84-4B7D-BAD0-5D114853B34C}"/>
    <dataValidation allowBlank="1" showInputMessage="1" showErrorMessage="1" prompt="自动计算预估费用。_x000a__x000a_从“预算详细信息”选项卡中读取数据。" sqref="C6 C29" xr:uid="{4C285EC2-F56D-4D68-B03F-03E1C35780D2}"/>
    <dataValidation allowBlank="1" showInputMessage="1" showErrorMessage="1" prompt="你的婚礼预算在此表中自动汇总。_x000a__x000a_支出类别根据预估总费用按降序顺序自动排序。_x000a__x000a_" sqref="B6 B29" xr:uid="{0559121B-5D8C-405D-98E3-5E06CB9B3076}"/>
    <dataValidation allowBlank="1" showInputMessage="1" showErrorMessage="1" promptTitle="婚礼预算表" prompt="_x000a_使用此模板制定你的婚礼预算。_x000a__x000a_在“预算详细信息”选项卡中，输入每项支出类别的详细信息。_x000a__x000a_单元格 B6 中的汇总表和单元格 B4 中的图表自动更新。_x000a_" sqref="A1" xr:uid="{5E5CD470-19AE-48B0-A889-06890E8E85B6}"/>
  </dataValidation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6e0ad8bcb937777a496f4378509b82b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3afd91b9dddacb5807afd727ccca0e2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CCD46-A519-4CE1-9135-7874D3B832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45F829-E8F4-42DF-8B54-9F829DAAC2EC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customXml/itemProps3.xml><?xml version="1.0" encoding="utf-8"?>
<ds:datastoreItem xmlns:ds="http://schemas.openxmlformats.org/officeDocument/2006/customXml" ds:itemID="{5DF2EFC9-2B23-4948-8091-C3048B97BD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TM33449363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利息结果2022</vt:lpstr>
      <vt:lpstr>预算明细</vt:lpstr>
      <vt:lpstr>利息结果2023</vt:lpstr>
      <vt:lpstr>预算明细!Print_Titles</vt:lpstr>
      <vt:lpstr>TBL_RankingData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2019-11-14T08:08:48Z</dcterms:created>
  <dcterms:modified xsi:type="dcterms:W3CDTF">2023-08-11T13:51:20Z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